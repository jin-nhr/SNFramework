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SNFramework\80_Asset\画像リソース\"/>
    </mc:Choice>
  </mc:AlternateContent>
  <xr:revisionPtr revIDLastSave="0" documentId="13_ncr:1_{E4F02892-6ECF-47F6-ACEC-713ECF640450}" xr6:coauthVersionLast="47" xr6:coauthVersionMax="47" xr10:uidLastSave="{00000000-0000-0000-0000-000000000000}"/>
  <bookViews>
    <workbookView xWindow="16371" yWindow="0" windowWidth="16629" windowHeight="18600" activeTab="2" xr2:uid="{00000000-000D-0000-FFFF-FFFF00000000}"/>
  </bookViews>
  <sheets>
    <sheet name="ページ0" sheetId="1" r:id="rId1"/>
    <sheet name="ページ1" sheetId="3" r:id="rId2"/>
    <sheet name="ページ2" sheetId="4" r:id="rId3"/>
    <sheet name="ページ3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7" i="5" l="1"/>
  <c r="C277" i="5"/>
  <c r="E277" i="5" s="1"/>
  <c r="K277" i="5" s="1"/>
  <c r="D276" i="5"/>
  <c r="E276" i="5" s="1"/>
  <c r="K276" i="5" s="1"/>
  <c r="C276" i="5"/>
  <c r="D275" i="5"/>
  <c r="C275" i="5"/>
  <c r="E275" i="5" s="1"/>
  <c r="K275" i="5" s="1"/>
  <c r="E274" i="5"/>
  <c r="K274" i="5" s="1"/>
  <c r="D274" i="5"/>
  <c r="C274" i="5"/>
  <c r="D273" i="5"/>
  <c r="C273" i="5"/>
  <c r="E273" i="5" s="1"/>
  <c r="K273" i="5" s="1"/>
  <c r="D272" i="5"/>
  <c r="E272" i="5" s="1"/>
  <c r="K272" i="5" s="1"/>
  <c r="C272" i="5"/>
  <c r="D271" i="5"/>
  <c r="C271" i="5"/>
  <c r="E271" i="5" s="1"/>
  <c r="K271" i="5" s="1"/>
  <c r="E270" i="5"/>
  <c r="K270" i="5" s="1"/>
  <c r="D270" i="5"/>
  <c r="C270" i="5"/>
  <c r="D269" i="5"/>
  <c r="C269" i="5"/>
  <c r="E269" i="5" s="1"/>
  <c r="K269" i="5" s="1"/>
  <c r="D268" i="5"/>
  <c r="E268" i="5" s="1"/>
  <c r="K268" i="5" s="1"/>
  <c r="C268" i="5"/>
  <c r="D267" i="5"/>
  <c r="C267" i="5"/>
  <c r="E267" i="5" s="1"/>
  <c r="K267" i="5" s="1"/>
  <c r="E266" i="5"/>
  <c r="K266" i="5" s="1"/>
  <c r="D266" i="5"/>
  <c r="C266" i="5"/>
  <c r="D265" i="5"/>
  <c r="C265" i="5"/>
  <c r="E265" i="5" s="1"/>
  <c r="K265" i="5" s="1"/>
  <c r="D264" i="5"/>
  <c r="E264" i="5" s="1"/>
  <c r="K264" i="5" s="1"/>
  <c r="C264" i="5"/>
  <c r="D263" i="5"/>
  <c r="C263" i="5"/>
  <c r="E263" i="5" s="1"/>
  <c r="K263" i="5" s="1"/>
  <c r="D262" i="5"/>
  <c r="E262" i="5" s="1"/>
  <c r="K262" i="5" s="1"/>
  <c r="C262" i="5"/>
  <c r="D261" i="5"/>
  <c r="C261" i="5"/>
  <c r="E261" i="5" s="1"/>
  <c r="K261" i="5" s="1"/>
  <c r="D260" i="5"/>
  <c r="E260" i="5" s="1"/>
  <c r="K260" i="5" s="1"/>
  <c r="C260" i="5"/>
  <c r="D259" i="5"/>
  <c r="C259" i="5"/>
  <c r="E259" i="5" s="1"/>
  <c r="K259" i="5" s="1"/>
  <c r="E258" i="5"/>
  <c r="K258" i="5" s="1"/>
  <c r="D258" i="5"/>
  <c r="C258" i="5"/>
  <c r="D257" i="5"/>
  <c r="C257" i="5"/>
  <c r="E257" i="5" s="1"/>
  <c r="K257" i="5" s="1"/>
  <c r="E256" i="5"/>
  <c r="K256" i="5" s="1"/>
  <c r="D256" i="5"/>
  <c r="C256" i="5"/>
  <c r="D255" i="5"/>
  <c r="C255" i="5"/>
  <c r="E255" i="5" s="1"/>
  <c r="K255" i="5" s="1"/>
  <c r="E254" i="5"/>
  <c r="K254" i="5" s="1"/>
  <c r="D254" i="5"/>
  <c r="C254" i="5"/>
  <c r="D253" i="5"/>
  <c r="C253" i="5"/>
  <c r="E253" i="5" s="1"/>
  <c r="K253" i="5" s="1"/>
  <c r="D252" i="5"/>
  <c r="E252" i="5" s="1"/>
  <c r="K252" i="5" s="1"/>
  <c r="C252" i="5"/>
  <c r="D251" i="5"/>
  <c r="C251" i="5"/>
  <c r="E251" i="5" s="1"/>
  <c r="K251" i="5" s="1"/>
  <c r="E250" i="5"/>
  <c r="K250" i="5" s="1"/>
  <c r="D250" i="5"/>
  <c r="C250" i="5"/>
  <c r="D249" i="5"/>
  <c r="C249" i="5"/>
  <c r="E249" i="5" s="1"/>
  <c r="K249" i="5" s="1"/>
  <c r="D248" i="5"/>
  <c r="E248" i="5" s="1"/>
  <c r="K248" i="5" s="1"/>
  <c r="C248" i="5"/>
  <c r="D247" i="5"/>
  <c r="C247" i="5"/>
  <c r="E247" i="5" s="1"/>
  <c r="K247" i="5" s="1"/>
  <c r="D246" i="5"/>
  <c r="E246" i="5" s="1"/>
  <c r="K246" i="5" s="1"/>
  <c r="C246" i="5"/>
  <c r="D245" i="5"/>
  <c r="C245" i="5"/>
  <c r="E245" i="5" s="1"/>
  <c r="K245" i="5" s="1"/>
  <c r="D244" i="5"/>
  <c r="E244" i="5" s="1"/>
  <c r="K244" i="5" s="1"/>
  <c r="C244" i="5"/>
  <c r="D243" i="5"/>
  <c r="C243" i="5"/>
  <c r="E243" i="5" s="1"/>
  <c r="K243" i="5" s="1"/>
  <c r="E242" i="5"/>
  <c r="K242" i="5" s="1"/>
  <c r="D242" i="5"/>
  <c r="C242" i="5"/>
  <c r="D241" i="5"/>
  <c r="C241" i="5"/>
  <c r="E241" i="5" s="1"/>
  <c r="K241" i="5" s="1"/>
  <c r="E240" i="5"/>
  <c r="K240" i="5" s="1"/>
  <c r="D240" i="5"/>
  <c r="C240" i="5"/>
  <c r="D239" i="5"/>
  <c r="C239" i="5"/>
  <c r="E239" i="5" s="1"/>
  <c r="K239" i="5" s="1"/>
  <c r="E238" i="5"/>
  <c r="K238" i="5" s="1"/>
  <c r="D238" i="5"/>
  <c r="C238" i="5"/>
  <c r="D237" i="5"/>
  <c r="C237" i="5"/>
  <c r="E237" i="5" s="1"/>
  <c r="K237" i="5" s="1"/>
  <c r="D236" i="5"/>
  <c r="E236" i="5" s="1"/>
  <c r="K236" i="5" s="1"/>
  <c r="C236" i="5"/>
  <c r="D235" i="5"/>
  <c r="C235" i="5"/>
  <c r="E235" i="5" s="1"/>
  <c r="K235" i="5" s="1"/>
  <c r="E234" i="5"/>
  <c r="K234" i="5" s="1"/>
  <c r="D234" i="5"/>
  <c r="C234" i="5"/>
  <c r="D233" i="5"/>
  <c r="C233" i="5"/>
  <c r="E233" i="5" s="1"/>
  <c r="K233" i="5" s="1"/>
  <c r="D232" i="5"/>
  <c r="E232" i="5" s="1"/>
  <c r="K232" i="5" s="1"/>
  <c r="C232" i="5"/>
  <c r="D231" i="5"/>
  <c r="C231" i="5"/>
  <c r="E231" i="5" s="1"/>
  <c r="K231" i="5" s="1"/>
  <c r="D230" i="5"/>
  <c r="E230" i="5" s="1"/>
  <c r="K230" i="5" s="1"/>
  <c r="C230" i="5"/>
  <c r="D229" i="5"/>
  <c r="C229" i="5"/>
  <c r="E229" i="5" s="1"/>
  <c r="K229" i="5" s="1"/>
  <c r="D228" i="5"/>
  <c r="E228" i="5" s="1"/>
  <c r="K228" i="5" s="1"/>
  <c r="C228" i="5"/>
  <c r="D227" i="5"/>
  <c r="C227" i="5"/>
  <c r="E227" i="5" s="1"/>
  <c r="K227" i="5" s="1"/>
  <c r="E226" i="5"/>
  <c r="K226" i="5" s="1"/>
  <c r="D226" i="5"/>
  <c r="C226" i="5"/>
  <c r="D225" i="5"/>
  <c r="C225" i="5"/>
  <c r="E225" i="5" s="1"/>
  <c r="K225" i="5" s="1"/>
  <c r="E224" i="5"/>
  <c r="K224" i="5" s="1"/>
  <c r="D224" i="5"/>
  <c r="C224" i="5"/>
  <c r="D223" i="5"/>
  <c r="C223" i="5"/>
  <c r="E223" i="5" s="1"/>
  <c r="K223" i="5" s="1"/>
  <c r="D222" i="5"/>
  <c r="C222" i="5"/>
  <c r="E222" i="5" s="1"/>
  <c r="K222" i="5" s="1"/>
  <c r="D221" i="5"/>
  <c r="C221" i="5"/>
  <c r="E221" i="5" s="1"/>
  <c r="K221" i="5" s="1"/>
  <c r="D220" i="5"/>
  <c r="E220" i="5" s="1"/>
  <c r="K220" i="5" s="1"/>
  <c r="C220" i="5"/>
  <c r="D219" i="5"/>
  <c r="C219" i="5"/>
  <c r="E219" i="5" s="1"/>
  <c r="K219" i="5" s="1"/>
  <c r="E218" i="5"/>
  <c r="K218" i="5" s="1"/>
  <c r="D218" i="5"/>
  <c r="C218" i="5"/>
  <c r="D217" i="5"/>
  <c r="C217" i="5"/>
  <c r="E217" i="5" s="1"/>
  <c r="K217" i="5" s="1"/>
  <c r="D216" i="5"/>
  <c r="C216" i="5"/>
  <c r="E216" i="5" s="1"/>
  <c r="K216" i="5" s="1"/>
  <c r="D215" i="5"/>
  <c r="C215" i="5"/>
  <c r="E215" i="5" s="1"/>
  <c r="K215" i="5" s="1"/>
  <c r="D214" i="5"/>
  <c r="C214" i="5"/>
  <c r="E214" i="5" s="1"/>
  <c r="K214" i="5" s="1"/>
  <c r="D213" i="5"/>
  <c r="C213" i="5"/>
  <c r="E213" i="5" s="1"/>
  <c r="K213" i="5" s="1"/>
  <c r="D212" i="5"/>
  <c r="C212" i="5"/>
  <c r="E212" i="5" s="1"/>
  <c r="K212" i="5" s="1"/>
  <c r="D211" i="5"/>
  <c r="C211" i="5"/>
  <c r="E211" i="5" s="1"/>
  <c r="K211" i="5" s="1"/>
  <c r="E210" i="5"/>
  <c r="K210" i="5" s="1"/>
  <c r="D210" i="5"/>
  <c r="C210" i="5"/>
  <c r="D209" i="5"/>
  <c r="C209" i="5"/>
  <c r="E209" i="5" s="1"/>
  <c r="K209" i="5" s="1"/>
  <c r="E208" i="5"/>
  <c r="K208" i="5" s="1"/>
  <c r="D208" i="5"/>
  <c r="C208" i="5"/>
  <c r="D207" i="5"/>
  <c r="C207" i="5"/>
  <c r="E207" i="5" s="1"/>
  <c r="K207" i="5" s="1"/>
  <c r="D206" i="5"/>
  <c r="C206" i="5"/>
  <c r="E206" i="5" s="1"/>
  <c r="K206" i="5" s="1"/>
  <c r="D205" i="5"/>
  <c r="C205" i="5"/>
  <c r="E205" i="5" s="1"/>
  <c r="K205" i="5" s="1"/>
  <c r="D204" i="5"/>
  <c r="C204" i="5"/>
  <c r="E204" i="5" s="1"/>
  <c r="K204" i="5" s="1"/>
  <c r="D203" i="5"/>
  <c r="C203" i="5"/>
  <c r="E203" i="5" s="1"/>
  <c r="K203" i="5" s="1"/>
  <c r="E202" i="5"/>
  <c r="K202" i="5" s="1"/>
  <c r="D202" i="5"/>
  <c r="C202" i="5"/>
  <c r="D201" i="5"/>
  <c r="C201" i="5"/>
  <c r="E201" i="5" s="1"/>
  <c r="K201" i="5" s="1"/>
  <c r="D200" i="5"/>
  <c r="C200" i="5"/>
  <c r="E200" i="5" s="1"/>
  <c r="K200" i="5" s="1"/>
  <c r="D199" i="5"/>
  <c r="C199" i="5"/>
  <c r="E199" i="5" s="1"/>
  <c r="K199" i="5" s="1"/>
  <c r="D198" i="5"/>
  <c r="C198" i="5"/>
  <c r="E198" i="5" s="1"/>
  <c r="K198" i="5" s="1"/>
  <c r="D197" i="5"/>
  <c r="C197" i="5"/>
  <c r="E197" i="5" s="1"/>
  <c r="K197" i="5" s="1"/>
  <c r="D196" i="5"/>
  <c r="C196" i="5"/>
  <c r="E196" i="5" s="1"/>
  <c r="K196" i="5" s="1"/>
  <c r="D195" i="5"/>
  <c r="C195" i="5"/>
  <c r="E195" i="5" s="1"/>
  <c r="K195" i="5" s="1"/>
  <c r="E194" i="5"/>
  <c r="K194" i="5" s="1"/>
  <c r="D194" i="5"/>
  <c r="C194" i="5"/>
  <c r="D193" i="5"/>
  <c r="C193" i="5"/>
  <c r="E193" i="5" s="1"/>
  <c r="K193" i="5" s="1"/>
  <c r="E192" i="5"/>
  <c r="K192" i="5" s="1"/>
  <c r="D192" i="5"/>
  <c r="C192" i="5"/>
  <c r="D191" i="5"/>
  <c r="C191" i="5"/>
  <c r="E191" i="5" s="1"/>
  <c r="K191" i="5" s="1"/>
  <c r="D190" i="5"/>
  <c r="C190" i="5"/>
  <c r="E190" i="5" s="1"/>
  <c r="K190" i="5" s="1"/>
  <c r="D189" i="5"/>
  <c r="C189" i="5"/>
  <c r="E189" i="5" s="1"/>
  <c r="K189" i="5" s="1"/>
  <c r="D188" i="5"/>
  <c r="C188" i="5"/>
  <c r="E188" i="5" s="1"/>
  <c r="K188" i="5" s="1"/>
  <c r="D187" i="5"/>
  <c r="C187" i="5"/>
  <c r="E187" i="5" s="1"/>
  <c r="K187" i="5" s="1"/>
  <c r="E186" i="5"/>
  <c r="K186" i="5" s="1"/>
  <c r="D186" i="5"/>
  <c r="C186" i="5"/>
  <c r="D185" i="5"/>
  <c r="C185" i="5"/>
  <c r="E185" i="5" s="1"/>
  <c r="K185" i="5" s="1"/>
  <c r="D184" i="5"/>
  <c r="C184" i="5"/>
  <c r="E184" i="5" s="1"/>
  <c r="K184" i="5" s="1"/>
  <c r="D183" i="5"/>
  <c r="C183" i="5"/>
  <c r="E183" i="5" s="1"/>
  <c r="K183" i="5" s="1"/>
  <c r="D182" i="5"/>
  <c r="C182" i="5"/>
  <c r="E182" i="5" s="1"/>
  <c r="K182" i="5" s="1"/>
  <c r="D181" i="5"/>
  <c r="C181" i="5"/>
  <c r="E181" i="5" s="1"/>
  <c r="K181" i="5" s="1"/>
  <c r="D180" i="5"/>
  <c r="C180" i="5"/>
  <c r="E180" i="5" s="1"/>
  <c r="K180" i="5" s="1"/>
  <c r="D179" i="5"/>
  <c r="C179" i="5"/>
  <c r="E179" i="5" s="1"/>
  <c r="K179" i="5" s="1"/>
  <c r="E178" i="5"/>
  <c r="K178" i="5" s="1"/>
  <c r="D178" i="5"/>
  <c r="C178" i="5"/>
  <c r="D177" i="5"/>
  <c r="C177" i="5"/>
  <c r="E177" i="5" s="1"/>
  <c r="K177" i="5" s="1"/>
  <c r="E176" i="5"/>
  <c r="K176" i="5" s="1"/>
  <c r="D176" i="5"/>
  <c r="C176" i="5"/>
  <c r="D175" i="5"/>
  <c r="C175" i="5"/>
  <c r="D174" i="5"/>
  <c r="C174" i="5"/>
  <c r="E174" i="5" s="1"/>
  <c r="K174" i="5" s="1"/>
  <c r="D173" i="5"/>
  <c r="C173" i="5"/>
  <c r="D172" i="5"/>
  <c r="E172" i="5" s="1"/>
  <c r="K172" i="5" s="1"/>
  <c r="C172" i="5"/>
  <c r="D171" i="5"/>
  <c r="C171" i="5"/>
  <c r="E170" i="5"/>
  <c r="K170" i="5" s="1"/>
  <c r="D170" i="5"/>
  <c r="C170" i="5"/>
  <c r="D169" i="5"/>
  <c r="C169" i="5"/>
  <c r="E169" i="5" s="1"/>
  <c r="K169" i="5" s="1"/>
  <c r="D168" i="5"/>
  <c r="C168" i="5"/>
  <c r="E168" i="5" s="1"/>
  <c r="K168" i="5" s="1"/>
  <c r="D167" i="5"/>
  <c r="C167" i="5"/>
  <c r="D166" i="5"/>
  <c r="C166" i="5"/>
  <c r="E166" i="5" s="1"/>
  <c r="K166" i="5" s="1"/>
  <c r="D165" i="5"/>
  <c r="C165" i="5"/>
  <c r="E165" i="5" s="1"/>
  <c r="K165" i="5" s="1"/>
  <c r="D164" i="5"/>
  <c r="C164" i="5"/>
  <c r="E164" i="5" s="1"/>
  <c r="K164" i="5" s="1"/>
  <c r="D163" i="5"/>
  <c r="C163" i="5"/>
  <c r="E163" i="5" s="1"/>
  <c r="K163" i="5" s="1"/>
  <c r="E162" i="5"/>
  <c r="K162" i="5" s="1"/>
  <c r="D162" i="5"/>
  <c r="C162" i="5"/>
  <c r="D161" i="5"/>
  <c r="C161" i="5"/>
  <c r="E161" i="5" s="1"/>
  <c r="K161" i="5" s="1"/>
  <c r="E160" i="5"/>
  <c r="K160" i="5" s="1"/>
  <c r="D160" i="5"/>
  <c r="C160" i="5"/>
  <c r="D159" i="5"/>
  <c r="C159" i="5"/>
  <c r="D158" i="5"/>
  <c r="C158" i="5"/>
  <c r="E158" i="5" s="1"/>
  <c r="K158" i="5" s="1"/>
  <c r="D157" i="5"/>
  <c r="C157" i="5"/>
  <c r="D156" i="5"/>
  <c r="E156" i="5" s="1"/>
  <c r="K156" i="5" s="1"/>
  <c r="C156" i="5"/>
  <c r="D155" i="5"/>
  <c r="C155" i="5"/>
  <c r="E154" i="5"/>
  <c r="K154" i="5" s="1"/>
  <c r="D154" i="5"/>
  <c r="C154" i="5"/>
  <c r="D153" i="5"/>
  <c r="C153" i="5"/>
  <c r="E153" i="5" s="1"/>
  <c r="K153" i="5" s="1"/>
  <c r="D152" i="5"/>
  <c r="C152" i="5"/>
  <c r="E152" i="5" s="1"/>
  <c r="K152" i="5" s="1"/>
  <c r="D151" i="5"/>
  <c r="C151" i="5"/>
  <c r="D150" i="5"/>
  <c r="C150" i="5"/>
  <c r="E150" i="5" s="1"/>
  <c r="K150" i="5" s="1"/>
  <c r="D149" i="5"/>
  <c r="C149" i="5"/>
  <c r="E149" i="5" s="1"/>
  <c r="K149" i="5" s="1"/>
  <c r="D148" i="5"/>
  <c r="C148" i="5"/>
  <c r="E148" i="5" s="1"/>
  <c r="K148" i="5" s="1"/>
  <c r="D147" i="5"/>
  <c r="C147" i="5"/>
  <c r="E147" i="5" s="1"/>
  <c r="K147" i="5" s="1"/>
  <c r="E146" i="5"/>
  <c r="K146" i="5" s="1"/>
  <c r="D146" i="5"/>
  <c r="C146" i="5"/>
  <c r="D145" i="5"/>
  <c r="C145" i="5"/>
  <c r="E145" i="5" s="1"/>
  <c r="K145" i="5" s="1"/>
  <c r="E144" i="5"/>
  <c r="K144" i="5" s="1"/>
  <c r="D144" i="5"/>
  <c r="C144" i="5"/>
  <c r="D143" i="5"/>
  <c r="C143" i="5"/>
  <c r="D142" i="5"/>
  <c r="C142" i="5"/>
  <c r="E142" i="5" s="1"/>
  <c r="K142" i="5" s="1"/>
  <c r="D141" i="5"/>
  <c r="C141" i="5"/>
  <c r="D140" i="5"/>
  <c r="E140" i="5" s="1"/>
  <c r="K140" i="5" s="1"/>
  <c r="C140" i="5"/>
  <c r="D139" i="5"/>
  <c r="C139" i="5"/>
  <c r="E138" i="5"/>
  <c r="K138" i="5" s="1"/>
  <c r="D138" i="5"/>
  <c r="C138" i="5"/>
  <c r="D137" i="5"/>
  <c r="C137" i="5"/>
  <c r="E137" i="5" s="1"/>
  <c r="K137" i="5" s="1"/>
  <c r="D136" i="5"/>
  <c r="C136" i="5"/>
  <c r="E136" i="5" s="1"/>
  <c r="K136" i="5" s="1"/>
  <c r="D135" i="5"/>
  <c r="C135" i="5"/>
  <c r="D134" i="5"/>
  <c r="C134" i="5"/>
  <c r="E134" i="5" s="1"/>
  <c r="K134" i="5" s="1"/>
  <c r="D133" i="5"/>
  <c r="C133" i="5"/>
  <c r="E133" i="5" s="1"/>
  <c r="K133" i="5" s="1"/>
  <c r="D132" i="5"/>
  <c r="C132" i="5"/>
  <c r="E132" i="5" s="1"/>
  <c r="K132" i="5" s="1"/>
  <c r="D131" i="5"/>
  <c r="C131" i="5"/>
  <c r="E131" i="5" s="1"/>
  <c r="K131" i="5" s="1"/>
  <c r="E130" i="5"/>
  <c r="K130" i="5" s="1"/>
  <c r="D130" i="5"/>
  <c r="C130" i="5"/>
  <c r="D129" i="5"/>
  <c r="C129" i="5"/>
  <c r="E129" i="5" s="1"/>
  <c r="K129" i="5" s="1"/>
  <c r="E128" i="5"/>
  <c r="K128" i="5" s="1"/>
  <c r="D128" i="5"/>
  <c r="C128" i="5"/>
  <c r="D127" i="5"/>
  <c r="C127" i="5"/>
  <c r="D126" i="5"/>
  <c r="C126" i="5"/>
  <c r="E126" i="5" s="1"/>
  <c r="K126" i="5" s="1"/>
  <c r="D125" i="5"/>
  <c r="C125" i="5"/>
  <c r="D124" i="5"/>
  <c r="E124" i="5" s="1"/>
  <c r="K124" i="5" s="1"/>
  <c r="C124" i="5"/>
  <c r="D123" i="5"/>
  <c r="C123" i="5"/>
  <c r="E122" i="5"/>
  <c r="K122" i="5" s="1"/>
  <c r="D122" i="5"/>
  <c r="C122" i="5"/>
  <c r="D121" i="5"/>
  <c r="C121" i="5"/>
  <c r="E121" i="5" s="1"/>
  <c r="K121" i="5" s="1"/>
  <c r="D120" i="5"/>
  <c r="C120" i="5"/>
  <c r="E120" i="5" s="1"/>
  <c r="K120" i="5" s="1"/>
  <c r="D119" i="5"/>
  <c r="C119" i="5"/>
  <c r="D118" i="5"/>
  <c r="C118" i="5"/>
  <c r="E118" i="5" s="1"/>
  <c r="K118" i="5" s="1"/>
  <c r="D117" i="5"/>
  <c r="C117" i="5"/>
  <c r="E117" i="5" s="1"/>
  <c r="K117" i="5" s="1"/>
  <c r="D116" i="5"/>
  <c r="C116" i="5"/>
  <c r="E116" i="5" s="1"/>
  <c r="K116" i="5" s="1"/>
  <c r="D115" i="5"/>
  <c r="C115" i="5"/>
  <c r="E115" i="5" s="1"/>
  <c r="K115" i="5" s="1"/>
  <c r="E114" i="5"/>
  <c r="K114" i="5" s="1"/>
  <c r="D114" i="5"/>
  <c r="C114" i="5"/>
  <c r="D113" i="5"/>
  <c r="C113" i="5"/>
  <c r="E113" i="5" s="1"/>
  <c r="K113" i="5" s="1"/>
  <c r="E112" i="5"/>
  <c r="K112" i="5" s="1"/>
  <c r="D112" i="5"/>
  <c r="C112" i="5"/>
  <c r="D111" i="5"/>
  <c r="C111" i="5"/>
  <c r="D110" i="5"/>
  <c r="C110" i="5"/>
  <c r="E110" i="5" s="1"/>
  <c r="K110" i="5" s="1"/>
  <c r="D109" i="5"/>
  <c r="C109" i="5"/>
  <c r="D108" i="5"/>
  <c r="E108" i="5" s="1"/>
  <c r="K108" i="5" s="1"/>
  <c r="C108" i="5"/>
  <c r="D107" i="5"/>
  <c r="C107" i="5"/>
  <c r="E107" i="5" s="1"/>
  <c r="K107" i="5" s="1"/>
  <c r="D106" i="5"/>
  <c r="E106" i="5" s="1"/>
  <c r="K106" i="5" s="1"/>
  <c r="C106" i="5"/>
  <c r="D105" i="5"/>
  <c r="C105" i="5"/>
  <c r="E105" i="5" s="1"/>
  <c r="K105" i="5" s="1"/>
  <c r="D104" i="5"/>
  <c r="E104" i="5" s="1"/>
  <c r="K104" i="5" s="1"/>
  <c r="C104" i="5"/>
  <c r="D103" i="5"/>
  <c r="C103" i="5"/>
  <c r="E103" i="5" s="1"/>
  <c r="K103" i="5" s="1"/>
  <c r="D102" i="5"/>
  <c r="E102" i="5" s="1"/>
  <c r="K102" i="5" s="1"/>
  <c r="C102" i="5"/>
  <c r="D101" i="5"/>
  <c r="C101" i="5"/>
  <c r="E101" i="5" s="1"/>
  <c r="K101" i="5" s="1"/>
  <c r="D100" i="5"/>
  <c r="E100" i="5" s="1"/>
  <c r="K100" i="5" s="1"/>
  <c r="C100" i="5"/>
  <c r="D99" i="5"/>
  <c r="C99" i="5"/>
  <c r="E99" i="5" s="1"/>
  <c r="K99" i="5" s="1"/>
  <c r="D98" i="5"/>
  <c r="E98" i="5" s="1"/>
  <c r="K98" i="5" s="1"/>
  <c r="C98" i="5"/>
  <c r="D97" i="5"/>
  <c r="C97" i="5"/>
  <c r="E97" i="5" s="1"/>
  <c r="K97" i="5" s="1"/>
  <c r="D96" i="5"/>
  <c r="E96" i="5" s="1"/>
  <c r="K96" i="5" s="1"/>
  <c r="C96" i="5"/>
  <c r="D95" i="5"/>
  <c r="C95" i="5"/>
  <c r="E95" i="5" s="1"/>
  <c r="K95" i="5" s="1"/>
  <c r="D94" i="5"/>
  <c r="E94" i="5" s="1"/>
  <c r="K94" i="5" s="1"/>
  <c r="C94" i="5"/>
  <c r="D93" i="5"/>
  <c r="C93" i="5"/>
  <c r="E93" i="5" s="1"/>
  <c r="K93" i="5" s="1"/>
  <c r="D92" i="5"/>
  <c r="E92" i="5" s="1"/>
  <c r="K92" i="5" s="1"/>
  <c r="C92" i="5"/>
  <c r="D91" i="5"/>
  <c r="C91" i="5"/>
  <c r="E91" i="5" s="1"/>
  <c r="K91" i="5" s="1"/>
  <c r="D90" i="5"/>
  <c r="E90" i="5" s="1"/>
  <c r="K90" i="5" s="1"/>
  <c r="C90" i="5"/>
  <c r="D89" i="5"/>
  <c r="C89" i="5"/>
  <c r="E89" i="5" s="1"/>
  <c r="K89" i="5" s="1"/>
  <c r="D88" i="5"/>
  <c r="E88" i="5" s="1"/>
  <c r="K88" i="5" s="1"/>
  <c r="C88" i="5"/>
  <c r="D87" i="5"/>
  <c r="C87" i="5"/>
  <c r="E87" i="5" s="1"/>
  <c r="K87" i="5" s="1"/>
  <c r="D86" i="5"/>
  <c r="E86" i="5" s="1"/>
  <c r="K86" i="5" s="1"/>
  <c r="C86" i="5"/>
  <c r="D85" i="5"/>
  <c r="C85" i="5"/>
  <c r="E85" i="5" s="1"/>
  <c r="K85" i="5" s="1"/>
  <c r="D84" i="5"/>
  <c r="E84" i="5" s="1"/>
  <c r="K84" i="5" s="1"/>
  <c r="C84" i="5"/>
  <c r="D83" i="5"/>
  <c r="C83" i="5"/>
  <c r="E83" i="5" s="1"/>
  <c r="K83" i="5" s="1"/>
  <c r="D82" i="5"/>
  <c r="E82" i="5" s="1"/>
  <c r="K82" i="5" s="1"/>
  <c r="C82" i="5"/>
  <c r="D81" i="5"/>
  <c r="C81" i="5"/>
  <c r="E81" i="5" s="1"/>
  <c r="K81" i="5" s="1"/>
  <c r="D80" i="5"/>
  <c r="E80" i="5" s="1"/>
  <c r="K80" i="5" s="1"/>
  <c r="C80" i="5"/>
  <c r="D79" i="5"/>
  <c r="C79" i="5"/>
  <c r="E79" i="5" s="1"/>
  <c r="K79" i="5" s="1"/>
  <c r="D78" i="5"/>
  <c r="E78" i="5" s="1"/>
  <c r="K78" i="5" s="1"/>
  <c r="C78" i="5"/>
  <c r="D77" i="5"/>
  <c r="C77" i="5"/>
  <c r="E77" i="5" s="1"/>
  <c r="K77" i="5" s="1"/>
  <c r="D76" i="5"/>
  <c r="E76" i="5" s="1"/>
  <c r="K76" i="5" s="1"/>
  <c r="C76" i="5"/>
  <c r="D75" i="5"/>
  <c r="C75" i="5"/>
  <c r="E75" i="5" s="1"/>
  <c r="K75" i="5" s="1"/>
  <c r="D74" i="5"/>
  <c r="E74" i="5" s="1"/>
  <c r="K74" i="5" s="1"/>
  <c r="C74" i="5"/>
  <c r="D73" i="5"/>
  <c r="C73" i="5"/>
  <c r="E73" i="5" s="1"/>
  <c r="K73" i="5" s="1"/>
  <c r="D72" i="5"/>
  <c r="E72" i="5" s="1"/>
  <c r="K72" i="5" s="1"/>
  <c r="C72" i="5"/>
  <c r="D71" i="5"/>
  <c r="C71" i="5"/>
  <c r="E71" i="5" s="1"/>
  <c r="K71" i="5" s="1"/>
  <c r="D70" i="5"/>
  <c r="E70" i="5" s="1"/>
  <c r="K70" i="5" s="1"/>
  <c r="C70" i="5"/>
  <c r="D69" i="5"/>
  <c r="C69" i="5"/>
  <c r="E69" i="5" s="1"/>
  <c r="K69" i="5" s="1"/>
  <c r="D68" i="5"/>
  <c r="E68" i="5" s="1"/>
  <c r="K68" i="5" s="1"/>
  <c r="C68" i="5"/>
  <c r="D67" i="5"/>
  <c r="C67" i="5"/>
  <c r="E67" i="5" s="1"/>
  <c r="K67" i="5" s="1"/>
  <c r="D66" i="5"/>
  <c r="E66" i="5" s="1"/>
  <c r="K66" i="5" s="1"/>
  <c r="C66" i="5"/>
  <c r="D65" i="5"/>
  <c r="C65" i="5"/>
  <c r="E65" i="5" s="1"/>
  <c r="K65" i="5" s="1"/>
  <c r="D64" i="5"/>
  <c r="E64" i="5" s="1"/>
  <c r="K64" i="5" s="1"/>
  <c r="C64" i="5"/>
  <c r="D63" i="5"/>
  <c r="C63" i="5"/>
  <c r="E63" i="5" s="1"/>
  <c r="K63" i="5" s="1"/>
  <c r="D62" i="5"/>
  <c r="E62" i="5" s="1"/>
  <c r="K62" i="5" s="1"/>
  <c r="C62" i="5"/>
  <c r="D61" i="5"/>
  <c r="C61" i="5"/>
  <c r="E61" i="5" s="1"/>
  <c r="K61" i="5" s="1"/>
  <c r="D60" i="5"/>
  <c r="E60" i="5" s="1"/>
  <c r="K60" i="5" s="1"/>
  <c r="C60" i="5"/>
  <c r="D59" i="5"/>
  <c r="C59" i="5"/>
  <c r="E59" i="5" s="1"/>
  <c r="K59" i="5" s="1"/>
  <c r="D58" i="5"/>
  <c r="E58" i="5" s="1"/>
  <c r="K58" i="5" s="1"/>
  <c r="C58" i="5"/>
  <c r="D57" i="5"/>
  <c r="C57" i="5"/>
  <c r="E57" i="5" s="1"/>
  <c r="K57" i="5" s="1"/>
  <c r="D56" i="5"/>
  <c r="E56" i="5" s="1"/>
  <c r="K56" i="5" s="1"/>
  <c r="C56" i="5"/>
  <c r="D55" i="5"/>
  <c r="C55" i="5"/>
  <c r="E55" i="5" s="1"/>
  <c r="K55" i="5" s="1"/>
  <c r="D54" i="5"/>
  <c r="E54" i="5" s="1"/>
  <c r="K54" i="5" s="1"/>
  <c r="C54" i="5"/>
  <c r="D53" i="5"/>
  <c r="C53" i="5"/>
  <c r="E53" i="5" s="1"/>
  <c r="K53" i="5" s="1"/>
  <c r="D52" i="5"/>
  <c r="E52" i="5" s="1"/>
  <c r="K52" i="5" s="1"/>
  <c r="C52" i="5"/>
  <c r="D51" i="5"/>
  <c r="C51" i="5"/>
  <c r="E51" i="5" s="1"/>
  <c r="K51" i="5" s="1"/>
  <c r="D50" i="5"/>
  <c r="E50" i="5" s="1"/>
  <c r="K50" i="5" s="1"/>
  <c r="C50" i="5"/>
  <c r="D49" i="5"/>
  <c r="C49" i="5"/>
  <c r="E49" i="5" s="1"/>
  <c r="K49" i="5" s="1"/>
  <c r="D48" i="5"/>
  <c r="E48" i="5" s="1"/>
  <c r="K48" i="5" s="1"/>
  <c r="C48" i="5"/>
  <c r="D47" i="5"/>
  <c r="C47" i="5"/>
  <c r="E47" i="5" s="1"/>
  <c r="K47" i="5" s="1"/>
  <c r="D46" i="5"/>
  <c r="E46" i="5" s="1"/>
  <c r="K46" i="5" s="1"/>
  <c r="C46" i="5"/>
  <c r="D45" i="5"/>
  <c r="C45" i="5"/>
  <c r="E45" i="5" s="1"/>
  <c r="K45" i="5" s="1"/>
  <c r="D44" i="5"/>
  <c r="E44" i="5" s="1"/>
  <c r="K44" i="5" s="1"/>
  <c r="C44" i="5"/>
  <c r="D43" i="5"/>
  <c r="C43" i="5"/>
  <c r="E43" i="5" s="1"/>
  <c r="K43" i="5" s="1"/>
  <c r="D42" i="5"/>
  <c r="E42" i="5" s="1"/>
  <c r="K42" i="5" s="1"/>
  <c r="C42" i="5"/>
  <c r="D41" i="5"/>
  <c r="C41" i="5"/>
  <c r="E41" i="5" s="1"/>
  <c r="K41" i="5" s="1"/>
  <c r="D40" i="5"/>
  <c r="E40" i="5" s="1"/>
  <c r="K40" i="5" s="1"/>
  <c r="C40" i="5"/>
  <c r="D39" i="5"/>
  <c r="C39" i="5"/>
  <c r="E39" i="5" s="1"/>
  <c r="K39" i="5" s="1"/>
  <c r="D38" i="5"/>
  <c r="E38" i="5" s="1"/>
  <c r="K38" i="5" s="1"/>
  <c r="C38" i="5"/>
  <c r="D37" i="5"/>
  <c r="C37" i="5"/>
  <c r="E37" i="5" s="1"/>
  <c r="K37" i="5" s="1"/>
  <c r="D36" i="5"/>
  <c r="E36" i="5" s="1"/>
  <c r="K36" i="5" s="1"/>
  <c r="C36" i="5"/>
  <c r="D35" i="5"/>
  <c r="C35" i="5"/>
  <c r="E35" i="5" s="1"/>
  <c r="K35" i="5" s="1"/>
  <c r="D34" i="5"/>
  <c r="E34" i="5" s="1"/>
  <c r="K34" i="5" s="1"/>
  <c r="C34" i="5"/>
  <c r="D33" i="5"/>
  <c r="C33" i="5"/>
  <c r="E33" i="5" s="1"/>
  <c r="K33" i="5" s="1"/>
  <c r="D32" i="5"/>
  <c r="E32" i="5" s="1"/>
  <c r="K32" i="5" s="1"/>
  <c r="C32" i="5"/>
  <c r="D31" i="5"/>
  <c r="C31" i="5"/>
  <c r="E31" i="5" s="1"/>
  <c r="K31" i="5" s="1"/>
  <c r="D30" i="5"/>
  <c r="E30" i="5" s="1"/>
  <c r="K30" i="5" s="1"/>
  <c r="C30" i="5"/>
  <c r="D29" i="5"/>
  <c r="C29" i="5"/>
  <c r="E29" i="5" s="1"/>
  <c r="K29" i="5" s="1"/>
  <c r="D28" i="5"/>
  <c r="E28" i="5" s="1"/>
  <c r="K28" i="5" s="1"/>
  <c r="C28" i="5"/>
  <c r="D27" i="5"/>
  <c r="C27" i="5"/>
  <c r="E27" i="5" s="1"/>
  <c r="K27" i="5" s="1"/>
  <c r="D26" i="5"/>
  <c r="E26" i="5" s="1"/>
  <c r="K26" i="5" s="1"/>
  <c r="C26" i="5"/>
  <c r="D25" i="5"/>
  <c r="C25" i="5"/>
  <c r="E25" i="5" s="1"/>
  <c r="K25" i="5" s="1"/>
  <c r="D24" i="5"/>
  <c r="E24" i="5" s="1"/>
  <c r="K24" i="5" s="1"/>
  <c r="C24" i="5"/>
  <c r="D23" i="5"/>
  <c r="C23" i="5"/>
  <c r="E23" i="5" s="1"/>
  <c r="K23" i="5" s="1"/>
  <c r="D22" i="5"/>
  <c r="E22" i="5" s="1"/>
  <c r="K22" i="5" s="1"/>
  <c r="C22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D277" i="4"/>
  <c r="C277" i="4"/>
  <c r="E277" i="4" s="1"/>
  <c r="K277" i="4" s="1"/>
  <c r="D276" i="4"/>
  <c r="C276" i="4"/>
  <c r="E276" i="4" s="1"/>
  <c r="K276" i="4" s="1"/>
  <c r="D275" i="4"/>
  <c r="C275" i="4"/>
  <c r="E275" i="4" s="1"/>
  <c r="K275" i="4" s="1"/>
  <c r="D274" i="4"/>
  <c r="C274" i="4"/>
  <c r="E274" i="4" s="1"/>
  <c r="K274" i="4" s="1"/>
  <c r="D273" i="4"/>
  <c r="C273" i="4"/>
  <c r="E273" i="4" s="1"/>
  <c r="K273" i="4" s="1"/>
  <c r="D272" i="4"/>
  <c r="C272" i="4"/>
  <c r="E272" i="4" s="1"/>
  <c r="K272" i="4" s="1"/>
  <c r="D271" i="4"/>
  <c r="C271" i="4"/>
  <c r="E271" i="4" s="1"/>
  <c r="K271" i="4" s="1"/>
  <c r="D270" i="4"/>
  <c r="C270" i="4"/>
  <c r="E270" i="4" s="1"/>
  <c r="K270" i="4" s="1"/>
  <c r="D269" i="4"/>
  <c r="C269" i="4"/>
  <c r="E269" i="4" s="1"/>
  <c r="K269" i="4" s="1"/>
  <c r="D268" i="4"/>
  <c r="C268" i="4"/>
  <c r="E268" i="4" s="1"/>
  <c r="K268" i="4" s="1"/>
  <c r="D267" i="4"/>
  <c r="C267" i="4"/>
  <c r="E267" i="4" s="1"/>
  <c r="K267" i="4" s="1"/>
  <c r="D266" i="4"/>
  <c r="C266" i="4"/>
  <c r="E266" i="4" s="1"/>
  <c r="K266" i="4" s="1"/>
  <c r="D265" i="4"/>
  <c r="C265" i="4"/>
  <c r="E265" i="4" s="1"/>
  <c r="K265" i="4" s="1"/>
  <c r="D264" i="4"/>
  <c r="C264" i="4"/>
  <c r="E264" i="4" s="1"/>
  <c r="K264" i="4" s="1"/>
  <c r="D263" i="4"/>
  <c r="C263" i="4"/>
  <c r="E263" i="4" s="1"/>
  <c r="K263" i="4" s="1"/>
  <c r="D262" i="4"/>
  <c r="C262" i="4"/>
  <c r="E262" i="4" s="1"/>
  <c r="K262" i="4" s="1"/>
  <c r="D261" i="4"/>
  <c r="C261" i="4"/>
  <c r="E261" i="4" s="1"/>
  <c r="K261" i="4" s="1"/>
  <c r="D260" i="4"/>
  <c r="C260" i="4"/>
  <c r="E260" i="4" s="1"/>
  <c r="K260" i="4" s="1"/>
  <c r="D259" i="4"/>
  <c r="C259" i="4"/>
  <c r="E259" i="4" s="1"/>
  <c r="K259" i="4" s="1"/>
  <c r="D258" i="4"/>
  <c r="C258" i="4"/>
  <c r="E258" i="4" s="1"/>
  <c r="K258" i="4" s="1"/>
  <c r="D257" i="4"/>
  <c r="C257" i="4"/>
  <c r="E257" i="4" s="1"/>
  <c r="K257" i="4" s="1"/>
  <c r="D256" i="4"/>
  <c r="C256" i="4"/>
  <c r="E256" i="4" s="1"/>
  <c r="K256" i="4" s="1"/>
  <c r="D255" i="4"/>
  <c r="C255" i="4"/>
  <c r="E255" i="4" s="1"/>
  <c r="K255" i="4" s="1"/>
  <c r="D254" i="4"/>
  <c r="C254" i="4"/>
  <c r="E254" i="4" s="1"/>
  <c r="K254" i="4" s="1"/>
  <c r="D253" i="4"/>
  <c r="C253" i="4"/>
  <c r="E253" i="4" s="1"/>
  <c r="K253" i="4" s="1"/>
  <c r="D252" i="4"/>
  <c r="C252" i="4"/>
  <c r="E252" i="4" s="1"/>
  <c r="K252" i="4" s="1"/>
  <c r="D251" i="4"/>
  <c r="C251" i="4"/>
  <c r="E251" i="4" s="1"/>
  <c r="K251" i="4" s="1"/>
  <c r="D250" i="4"/>
  <c r="C250" i="4"/>
  <c r="E250" i="4" s="1"/>
  <c r="K250" i="4" s="1"/>
  <c r="D249" i="4"/>
  <c r="C249" i="4"/>
  <c r="E249" i="4" s="1"/>
  <c r="K249" i="4" s="1"/>
  <c r="D248" i="4"/>
  <c r="C248" i="4"/>
  <c r="E248" i="4" s="1"/>
  <c r="K248" i="4" s="1"/>
  <c r="D247" i="4"/>
  <c r="C247" i="4"/>
  <c r="E247" i="4" s="1"/>
  <c r="K247" i="4" s="1"/>
  <c r="D246" i="4"/>
  <c r="C246" i="4"/>
  <c r="E246" i="4" s="1"/>
  <c r="K246" i="4" s="1"/>
  <c r="D245" i="4"/>
  <c r="C245" i="4"/>
  <c r="E245" i="4" s="1"/>
  <c r="K245" i="4" s="1"/>
  <c r="D244" i="4"/>
  <c r="C244" i="4"/>
  <c r="E244" i="4" s="1"/>
  <c r="K244" i="4" s="1"/>
  <c r="D243" i="4"/>
  <c r="C243" i="4"/>
  <c r="E243" i="4" s="1"/>
  <c r="K243" i="4" s="1"/>
  <c r="D242" i="4"/>
  <c r="C242" i="4"/>
  <c r="E242" i="4" s="1"/>
  <c r="K242" i="4" s="1"/>
  <c r="D241" i="4"/>
  <c r="C241" i="4"/>
  <c r="E241" i="4" s="1"/>
  <c r="K241" i="4" s="1"/>
  <c r="D240" i="4"/>
  <c r="C240" i="4"/>
  <c r="E240" i="4" s="1"/>
  <c r="K240" i="4" s="1"/>
  <c r="D239" i="4"/>
  <c r="C239" i="4"/>
  <c r="E239" i="4" s="1"/>
  <c r="K239" i="4" s="1"/>
  <c r="D238" i="4"/>
  <c r="C238" i="4"/>
  <c r="E238" i="4" s="1"/>
  <c r="K238" i="4" s="1"/>
  <c r="D237" i="4"/>
  <c r="C237" i="4"/>
  <c r="E237" i="4" s="1"/>
  <c r="K237" i="4" s="1"/>
  <c r="D236" i="4"/>
  <c r="C236" i="4"/>
  <c r="E236" i="4" s="1"/>
  <c r="K236" i="4" s="1"/>
  <c r="D235" i="4"/>
  <c r="C235" i="4"/>
  <c r="E235" i="4" s="1"/>
  <c r="K235" i="4" s="1"/>
  <c r="D234" i="4"/>
  <c r="C234" i="4"/>
  <c r="E234" i="4" s="1"/>
  <c r="K234" i="4" s="1"/>
  <c r="D233" i="4"/>
  <c r="C233" i="4"/>
  <c r="E233" i="4" s="1"/>
  <c r="K233" i="4" s="1"/>
  <c r="D232" i="4"/>
  <c r="C232" i="4"/>
  <c r="E232" i="4" s="1"/>
  <c r="K232" i="4" s="1"/>
  <c r="D231" i="4"/>
  <c r="C231" i="4"/>
  <c r="E231" i="4" s="1"/>
  <c r="K231" i="4" s="1"/>
  <c r="D230" i="4"/>
  <c r="C230" i="4"/>
  <c r="E230" i="4" s="1"/>
  <c r="K230" i="4" s="1"/>
  <c r="D229" i="4"/>
  <c r="C229" i="4"/>
  <c r="E229" i="4" s="1"/>
  <c r="K229" i="4" s="1"/>
  <c r="D228" i="4"/>
  <c r="C228" i="4"/>
  <c r="E228" i="4" s="1"/>
  <c r="K228" i="4" s="1"/>
  <c r="D227" i="4"/>
  <c r="C227" i="4"/>
  <c r="E227" i="4" s="1"/>
  <c r="K227" i="4" s="1"/>
  <c r="D226" i="4"/>
  <c r="C226" i="4"/>
  <c r="E226" i="4" s="1"/>
  <c r="K226" i="4" s="1"/>
  <c r="D225" i="4"/>
  <c r="C225" i="4"/>
  <c r="E225" i="4" s="1"/>
  <c r="K225" i="4" s="1"/>
  <c r="D224" i="4"/>
  <c r="C224" i="4"/>
  <c r="E224" i="4" s="1"/>
  <c r="K224" i="4" s="1"/>
  <c r="D223" i="4"/>
  <c r="C223" i="4"/>
  <c r="E223" i="4" s="1"/>
  <c r="K223" i="4" s="1"/>
  <c r="D222" i="4"/>
  <c r="C222" i="4"/>
  <c r="E222" i="4" s="1"/>
  <c r="K222" i="4" s="1"/>
  <c r="D221" i="4"/>
  <c r="C221" i="4"/>
  <c r="E221" i="4" s="1"/>
  <c r="K221" i="4" s="1"/>
  <c r="D220" i="4"/>
  <c r="C220" i="4"/>
  <c r="E220" i="4" s="1"/>
  <c r="K220" i="4" s="1"/>
  <c r="D219" i="4"/>
  <c r="C219" i="4"/>
  <c r="E219" i="4" s="1"/>
  <c r="K219" i="4" s="1"/>
  <c r="D218" i="4"/>
  <c r="C218" i="4"/>
  <c r="D217" i="4"/>
  <c r="C217" i="4"/>
  <c r="E217" i="4" s="1"/>
  <c r="K217" i="4" s="1"/>
  <c r="D216" i="4"/>
  <c r="C216" i="4"/>
  <c r="E216" i="4" s="1"/>
  <c r="K216" i="4" s="1"/>
  <c r="D215" i="4"/>
  <c r="C215" i="4"/>
  <c r="E215" i="4" s="1"/>
  <c r="K215" i="4" s="1"/>
  <c r="D214" i="4"/>
  <c r="C214" i="4"/>
  <c r="D213" i="4"/>
  <c r="C213" i="4"/>
  <c r="E213" i="4" s="1"/>
  <c r="K213" i="4" s="1"/>
  <c r="D212" i="4"/>
  <c r="C212" i="4"/>
  <c r="E212" i="4" s="1"/>
  <c r="K212" i="4" s="1"/>
  <c r="D211" i="4"/>
  <c r="C211" i="4"/>
  <c r="E211" i="4" s="1"/>
  <c r="K211" i="4" s="1"/>
  <c r="D210" i="4"/>
  <c r="C210" i="4"/>
  <c r="D209" i="4"/>
  <c r="C209" i="4"/>
  <c r="E209" i="4" s="1"/>
  <c r="K209" i="4" s="1"/>
  <c r="D208" i="4"/>
  <c r="C208" i="4"/>
  <c r="E208" i="4" s="1"/>
  <c r="K208" i="4" s="1"/>
  <c r="D207" i="4"/>
  <c r="C207" i="4"/>
  <c r="E207" i="4" s="1"/>
  <c r="K207" i="4" s="1"/>
  <c r="D206" i="4"/>
  <c r="C206" i="4"/>
  <c r="D205" i="4"/>
  <c r="C205" i="4"/>
  <c r="E205" i="4" s="1"/>
  <c r="K205" i="4" s="1"/>
  <c r="D204" i="4"/>
  <c r="C204" i="4"/>
  <c r="E204" i="4" s="1"/>
  <c r="K204" i="4" s="1"/>
  <c r="D203" i="4"/>
  <c r="C203" i="4"/>
  <c r="E203" i="4" s="1"/>
  <c r="K203" i="4" s="1"/>
  <c r="D202" i="4"/>
  <c r="C202" i="4"/>
  <c r="D201" i="4"/>
  <c r="C201" i="4"/>
  <c r="E201" i="4" s="1"/>
  <c r="K201" i="4" s="1"/>
  <c r="D200" i="4"/>
  <c r="C200" i="4"/>
  <c r="E200" i="4" s="1"/>
  <c r="K200" i="4" s="1"/>
  <c r="D199" i="4"/>
  <c r="C199" i="4"/>
  <c r="E199" i="4" s="1"/>
  <c r="K199" i="4" s="1"/>
  <c r="D198" i="4"/>
  <c r="C198" i="4"/>
  <c r="D197" i="4"/>
  <c r="C197" i="4"/>
  <c r="E197" i="4" s="1"/>
  <c r="K197" i="4" s="1"/>
  <c r="D196" i="4"/>
  <c r="C196" i="4"/>
  <c r="E196" i="4" s="1"/>
  <c r="K196" i="4" s="1"/>
  <c r="D195" i="4"/>
  <c r="C195" i="4"/>
  <c r="E195" i="4" s="1"/>
  <c r="K195" i="4" s="1"/>
  <c r="D194" i="4"/>
  <c r="C194" i="4"/>
  <c r="D193" i="4"/>
  <c r="C193" i="4"/>
  <c r="E193" i="4" s="1"/>
  <c r="K193" i="4" s="1"/>
  <c r="D192" i="4"/>
  <c r="C192" i="4"/>
  <c r="E192" i="4" s="1"/>
  <c r="K192" i="4" s="1"/>
  <c r="D191" i="4"/>
  <c r="C191" i="4"/>
  <c r="E191" i="4" s="1"/>
  <c r="K191" i="4" s="1"/>
  <c r="D190" i="4"/>
  <c r="C190" i="4"/>
  <c r="D189" i="4"/>
  <c r="C189" i="4"/>
  <c r="E189" i="4" s="1"/>
  <c r="K189" i="4" s="1"/>
  <c r="D188" i="4"/>
  <c r="C188" i="4"/>
  <c r="E188" i="4" s="1"/>
  <c r="K188" i="4" s="1"/>
  <c r="D187" i="4"/>
  <c r="C187" i="4"/>
  <c r="E187" i="4" s="1"/>
  <c r="K187" i="4" s="1"/>
  <c r="D186" i="4"/>
  <c r="C186" i="4"/>
  <c r="D185" i="4"/>
  <c r="C185" i="4"/>
  <c r="E185" i="4" s="1"/>
  <c r="K185" i="4" s="1"/>
  <c r="D184" i="4"/>
  <c r="C184" i="4"/>
  <c r="E184" i="4" s="1"/>
  <c r="K184" i="4" s="1"/>
  <c r="D183" i="4"/>
  <c r="C183" i="4"/>
  <c r="E183" i="4" s="1"/>
  <c r="K183" i="4" s="1"/>
  <c r="D182" i="4"/>
  <c r="C182" i="4"/>
  <c r="D181" i="4"/>
  <c r="C181" i="4"/>
  <c r="E181" i="4" s="1"/>
  <c r="K181" i="4" s="1"/>
  <c r="D180" i="4"/>
  <c r="C180" i="4"/>
  <c r="E180" i="4" s="1"/>
  <c r="K180" i="4" s="1"/>
  <c r="D179" i="4"/>
  <c r="C179" i="4"/>
  <c r="E179" i="4" s="1"/>
  <c r="K179" i="4" s="1"/>
  <c r="D178" i="4"/>
  <c r="C178" i="4"/>
  <c r="D177" i="4"/>
  <c r="C177" i="4"/>
  <c r="E177" i="4" s="1"/>
  <c r="K177" i="4" s="1"/>
  <c r="D176" i="4"/>
  <c r="C176" i="4"/>
  <c r="E176" i="4" s="1"/>
  <c r="K176" i="4" s="1"/>
  <c r="D175" i="4"/>
  <c r="C175" i="4"/>
  <c r="E175" i="4" s="1"/>
  <c r="K175" i="4" s="1"/>
  <c r="D174" i="4"/>
  <c r="C174" i="4"/>
  <c r="D173" i="4"/>
  <c r="C173" i="4"/>
  <c r="E173" i="4" s="1"/>
  <c r="K173" i="4" s="1"/>
  <c r="D172" i="4"/>
  <c r="C172" i="4"/>
  <c r="E172" i="4" s="1"/>
  <c r="K172" i="4" s="1"/>
  <c r="D171" i="4"/>
  <c r="C171" i="4"/>
  <c r="E171" i="4" s="1"/>
  <c r="K171" i="4" s="1"/>
  <c r="D170" i="4"/>
  <c r="C170" i="4"/>
  <c r="D169" i="4"/>
  <c r="C169" i="4"/>
  <c r="E169" i="4" s="1"/>
  <c r="K169" i="4" s="1"/>
  <c r="D168" i="4"/>
  <c r="C168" i="4"/>
  <c r="E168" i="4" s="1"/>
  <c r="K168" i="4" s="1"/>
  <c r="D167" i="4"/>
  <c r="C167" i="4"/>
  <c r="E167" i="4" s="1"/>
  <c r="K167" i="4" s="1"/>
  <c r="D166" i="4"/>
  <c r="C166" i="4"/>
  <c r="D165" i="4"/>
  <c r="C165" i="4"/>
  <c r="E165" i="4" s="1"/>
  <c r="K165" i="4" s="1"/>
  <c r="D164" i="4"/>
  <c r="C164" i="4"/>
  <c r="E164" i="4" s="1"/>
  <c r="K164" i="4" s="1"/>
  <c r="D163" i="4"/>
  <c r="C163" i="4"/>
  <c r="E163" i="4" s="1"/>
  <c r="K163" i="4" s="1"/>
  <c r="D162" i="4"/>
  <c r="C162" i="4"/>
  <c r="D161" i="4"/>
  <c r="C161" i="4"/>
  <c r="E161" i="4" s="1"/>
  <c r="K161" i="4" s="1"/>
  <c r="D160" i="4"/>
  <c r="C160" i="4"/>
  <c r="E160" i="4" s="1"/>
  <c r="K160" i="4" s="1"/>
  <c r="D159" i="4"/>
  <c r="C159" i="4"/>
  <c r="E159" i="4" s="1"/>
  <c r="K159" i="4" s="1"/>
  <c r="D158" i="4"/>
  <c r="C158" i="4"/>
  <c r="D157" i="4"/>
  <c r="C157" i="4"/>
  <c r="E157" i="4" s="1"/>
  <c r="K157" i="4" s="1"/>
  <c r="D156" i="4"/>
  <c r="C156" i="4"/>
  <c r="E156" i="4" s="1"/>
  <c r="K156" i="4" s="1"/>
  <c r="D155" i="4"/>
  <c r="C155" i="4"/>
  <c r="E155" i="4" s="1"/>
  <c r="K155" i="4" s="1"/>
  <c r="D154" i="4"/>
  <c r="C154" i="4"/>
  <c r="D153" i="4"/>
  <c r="C153" i="4"/>
  <c r="E153" i="4" s="1"/>
  <c r="K153" i="4" s="1"/>
  <c r="D152" i="4"/>
  <c r="C152" i="4"/>
  <c r="E152" i="4" s="1"/>
  <c r="K152" i="4" s="1"/>
  <c r="D151" i="4"/>
  <c r="C151" i="4"/>
  <c r="E151" i="4" s="1"/>
  <c r="K151" i="4" s="1"/>
  <c r="D150" i="4"/>
  <c r="C150" i="4"/>
  <c r="D149" i="4"/>
  <c r="C149" i="4"/>
  <c r="E149" i="4" s="1"/>
  <c r="K149" i="4" s="1"/>
  <c r="D148" i="4"/>
  <c r="C148" i="4"/>
  <c r="E148" i="4" s="1"/>
  <c r="K148" i="4" s="1"/>
  <c r="D147" i="4"/>
  <c r="C147" i="4"/>
  <c r="E147" i="4" s="1"/>
  <c r="K147" i="4" s="1"/>
  <c r="D146" i="4"/>
  <c r="C146" i="4"/>
  <c r="D145" i="4"/>
  <c r="C145" i="4"/>
  <c r="E145" i="4" s="1"/>
  <c r="K145" i="4" s="1"/>
  <c r="D144" i="4"/>
  <c r="C144" i="4"/>
  <c r="E144" i="4" s="1"/>
  <c r="K144" i="4" s="1"/>
  <c r="D143" i="4"/>
  <c r="C143" i="4"/>
  <c r="E143" i="4" s="1"/>
  <c r="K143" i="4" s="1"/>
  <c r="D142" i="4"/>
  <c r="C142" i="4"/>
  <c r="D141" i="4"/>
  <c r="C141" i="4"/>
  <c r="E141" i="4" s="1"/>
  <c r="K141" i="4" s="1"/>
  <c r="D140" i="4"/>
  <c r="C140" i="4"/>
  <c r="E140" i="4" s="1"/>
  <c r="K140" i="4" s="1"/>
  <c r="D139" i="4"/>
  <c r="C139" i="4"/>
  <c r="E139" i="4" s="1"/>
  <c r="K139" i="4" s="1"/>
  <c r="D138" i="4"/>
  <c r="C138" i="4"/>
  <c r="D137" i="4"/>
  <c r="C137" i="4"/>
  <c r="E137" i="4" s="1"/>
  <c r="K137" i="4" s="1"/>
  <c r="D136" i="4"/>
  <c r="C136" i="4"/>
  <c r="E136" i="4" s="1"/>
  <c r="K136" i="4" s="1"/>
  <c r="D135" i="4"/>
  <c r="C135" i="4"/>
  <c r="E135" i="4" s="1"/>
  <c r="K135" i="4" s="1"/>
  <c r="D134" i="4"/>
  <c r="C134" i="4"/>
  <c r="D133" i="4"/>
  <c r="C133" i="4"/>
  <c r="E133" i="4" s="1"/>
  <c r="K133" i="4" s="1"/>
  <c r="D132" i="4"/>
  <c r="C132" i="4"/>
  <c r="E132" i="4" s="1"/>
  <c r="K132" i="4" s="1"/>
  <c r="D131" i="4"/>
  <c r="C131" i="4"/>
  <c r="E131" i="4" s="1"/>
  <c r="K131" i="4" s="1"/>
  <c r="D130" i="4"/>
  <c r="C130" i="4"/>
  <c r="D129" i="4"/>
  <c r="C129" i="4"/>
  <c r="E129" i="4" s="1"/>
  <c r="K129" i="4" s="1"/>
  <c r="D128" i="4"/>
  <c r="C128" i="4"/>
  <c r="E128" i="4" s="1"/>
  <c r="K128" i="4" s="1"/>
  <c r="D127" i="4"/>
  <c r="C127" i="4"/>
  <c r="E127" i="4" s="1"/>
  <c r="K127" i="4" s="1"/>
  <c r="D126" i="4"/>
  <c r="C126" i="4"/>
  <c r="D125" i="4"/>
  <c r="C125" i="4"/>
  <c r="E125" i="4" s="1"/>
  <c r="K125" i="4" s="1"/>
  <c r="D124" i="4"/>
  <c r="C124" i="4"/>
  <c r="E124" i="4" s="1"/>
  <c r="K124" i="4" s="1"/>
  <c r="D123" i="4"/>
  <c r="C123" i="4"/>
  <c r="E123" i="4" s="1"/>
  <c r="K123" i="4" s="1"/>
  <c r="D122" i="4"/>
  <c r="C122" i="4"/>
  <c r="D121" i="4"/>
  <c r="C121" i="4"/>
  <c r="E121" i="4" s="1"/>
  <c r="K121" i="4" s="1"/>
  <c r="D120" i="4"/>
  <c r="C120" i="4"/>
  <c r="E120" i="4" s="1"/>
  <c r="K120" i="4" s="1"/>
  <c r="D119" i="4"/>
  <c r="C119" i="4"/>
  <c r="E119" i="4" s="1"/>
  <c r="K119" i="4" s="1"/>
  <c r="D118" i="4"/>
  <c r="C118" i="4"/>
  <c r="D117" i="4"/>
  <c r="C117" i="4"/>
  <c r="E117" i="4" s="1"/>
  <c r="K117" i="4" s="1"/>
  <c r="D116" i="4"/>
  <c r="C116" i="4"/>
  <c r="E116" i="4" s="1"/>
  <c r="K116" i="4" s="1"/>
  <c r="D115" i="4"/>
  <c r="C115" i="4"/>
  <c r="E115" i="4" s="1"/>
  <c r="K115" i="4" s="1"/>
  <c r="D114" i="4"/>
  <c r="C114" i="4"/>
  <c r="D113" i="4"/>
  <c r="C113" i="4"/>
  <c r="D112" i="4"/>
  <c r="C112" i="4"/>
  <c r="E112" i="4" s="1"/>
  <c r="K112" i="4" s="1"/>
  <c r="D111" i="4"/>
  <c r="C111" i="4"/>
  <c r="D110" i="4"/>
  <c r="C110" i="4"/>
  <c r="E110" i="4" s="1"/>
  <c r="K110" i="4" s="1"/>
  <c r="D109" i="4"/>
  <c r="C109" i="4"/>
  <c r="E109" i="4" s="1"/>
  <c r="K109" i="4" s="1"/>
  <c r="D108" i="4"/>
  <c r="C108" i="4"/>
  <c r="E108" i="4" s="1"/>
  <c r="K108" i="4" s="1"/>
  <c r="D107" i="4"/>
  <c r="C107" i="4"/>
  <c r="E107" i="4" s="1"/>
  <c r="K107" i="4" s="1"/>
  <c r="D106" i="4"/>
  <c r="C106" i="4"/>
  <c r="E106" i="4" s="1"/>
  <c r="K106" i="4" s="1"/>
  <c r="D105" i="4"/>
  <c r="C105" i="4"/>
  <c r="E105" i="4" s="1"/>
  <c r="K105" i="4" s="1"/>
  <c r="D104" i="4"/>
  <c r="C104" i="4"/>
  <c r="E104" i="4" s="1"/>
  <c r="K104" i="4" s="1"/>
  <c r="D103" i="4"/>
  <c r="C103" i="4"/>
  <c r="E103" i="4" s="1"/>
  <c r="K103" i="4" s="1"/>
  <c r="D102" i="4"/>
  <c r="C102" i="4"/>
  <c r="E102" i="4" s="1"/>
  <c r="K102" i="4" s="1"/>
  <c r="D101" i="4"/>
  <c r="C101" i="4"/>
  <c r="E101" i="4" s="1"/>
  <c r="K101" i="4" s="1"/>
  <c r="D100" i="4"/>
  <c r="C100" i="4"/>
  <c r="E100" i="4" s="1"/>
  <c r="K100" i="4" s="1"/>
  <c r="D99" i="4"/>
  <c r="C99" i="4"/>
  <c r="E99" i="4" s="1"/>
  <c r="K99" i="4" s="1"/>
  <c r="D98" i="4"/>
  <c r="C98" i="4"/>
  <c r="E98" i="4" s="1"/>
  <c r="K98" i="4" s="1"/>
  <c r="D97" i="4"/>
  <c r="C97" i="4"/>
  <c r="E97" i="4" s="1"/>
  <c r="K97" i="4" s="1"/>
  <c r="D96" i="4"/>
  <c r="C96" i="4"/>
  <c r="E96" i="4" s="1"/>
  <c r="K96" i="4" s="1"/>
  <c r="D95" i="4"/>
  <c r="C95" i="4"/>
  <c r="E95" i="4" s="1"/>
  <c r="K95" i="4" s="1"/>
  <c r="D94" i="4"/>
  <c r="C94" i="4"/>
  <c r="E94" i="4" s="1"/>
  <c r="K94" i="4" s="1"/>
  <c r="D93" i="4"/>
  <c r="C93" i="4"/>
  <c r="E93" i="4" s="1"/>
  <c r="K93" i="4" s="1"/>
  <c r="D92" i="4"/>
  <c r="C92" i="4"/>
  <c r="E92" i="4" s="1"/>
  <c r="K92" i="4" s="1"/>
  <c r="D91" i="4"/>
  <c r="C91" i="4"/>
  <c r="E91" i="4" s="1"/>
  <c r="K91" i="4" s="1"/>
  <c r="D90" i="4"/>
  <c r="C90" i="4"/>
  <c r="E90" i="4" s="1"/>
  <c r="K90" i="4" s="1"/>
  <c r="D89" i="4"/>
  <c r="C89" i="4"/>
  <c r="E89" i="4" s="1"/>
  <c r="K89" i="4" s="1"/>
  <c r="D88" i="4"/>
  <c r="C88" i="4"/>
  <c r="E88" i="4" s="1"/>
  <c r="K88" i="4" s="1"/>
  <c r="D87" i="4"/>
  <c r="C87" i="4"/>
  <c r="E87" i="4" s="1"/>
  <c r="K87" i="4" s="1"/>
  <c r="D86" i="4"/>
  <c r="C86" i="4"/>
  <c r="E86" i="4" s="1"/>
  <c r="K86" i="4" s="1"/>
  <c r="D85" i="4"/>
  <c r="C85" i="4"/>
  <c r="E85" i="4" s="1"/>
  <c r="K85" i="4" s="1"/>
  <c r="D84" i="4"/>
  <c r="C84" i="4"/>
  <c r="E84" i="4" s="1"/>
  <c r="K84" i="4" s="1"/>
  <c r="D83" i="4"/>
  <c r="C83" i="4"/>
  <c r="E83" i="4" s="1"/>
  <c r="K83" i="4" s="1"/>
  <c r="D82" i="4"/>
  <c r="C82" i="4"/>
  <c r="E82" i="4" s="1"/>
  <c r="K82" i="4" s="1"/>
  <c r="D81" i="4"/>
  <c r="C81" i="4"/>
  <c r="E81" i="4" s="1"/>
  <c r="K81" i="4" s="1"/>
  <c r="D80" i="4"/>
  <c r="C80" i="4"/>
  <c r="E80" i="4" s="1"/>
  <c r="K80" i="4" s="1"/>
  <c r="D79" i="4"/>
  <c r="C79" i="4"/>
  <c r="E79" i="4" s="1"/>
  <c r="K79" i="4" s="1"/>
  <c r="D78" i="4"/>
  <c r="C78" i="4"/>
  <c r="E78" i="4" s="1"/>
  <c r="K78" i="4" s="1"/>
  <c r="D77" i="4"/>
  <c r="C77" i="4"/>
  <c r="E77" i="4" s="1"/>
  <c r="K77" i="4" s="1"/>
  <c r="D76" i="4"/>
  <c r="C76" i="4"/>
  <c r="E76" i="4" s="1"/>
  <c r="K76" i="4" s="1"/>
  <c r="D75" i="4"/>
  <c r="C75" i="4"/>
  <c r="E75" i="4" s="1"/>
  <c r="K75" i="4" s="1"/>
  <c r="D74" i="4"/>
  <c r="C74" i="4"/>
  <c r="E74" i="4" s="1"/>
  <c r="K74" i="4" s="1"/>
  <c r="D73" i="4"/>
  <c r="C73" i="4"/>
  <c r="E73" i="4" s="1"/>
  <c r="K73" i="4" s="1"/>
  <c r="D72" i="4"/>
  <c r="C72" i="4"/>
  <c r="E72" i="4" s="1"/>
  <c r="K72" i="4" s="1"/>
  <c r="D71" i="4"/>
  <c r="C71" i="4"/>
  <c r="E71" i="4" s="1"/>
  <c r="K71" i="4" s="1"/>
  <c r="D70" i="4"/>
  <c r="C70" i="4"/>
  <c r="E70" i="4" s="1"/>
  <c r="K70" i="4" s="1"/>
  <c r="D69" i="4"/>
  <c r="C69" i="4"/>
  <c r="E69" i="4" s="1"/>
  <c r="K69" i="4" s="1"/>
  <c r="D68" i="4"/>
  <c r="C68" i="4"/>
  <c r="E68" i="4" s="1"/>
  <c r="K68" i="4" s="1"/>
  <c r="D67" i="4"/>
  <c r="C67" i="4"/>
  <c r="E67" i="4" s="1"/>
  <c r="K67" i="4" s="1"/>
  <c r="D66" i="4"/>
  <c r="C66" i="4"/>
  <c r="E66" i="4" s="1"/>
  <c r="K66" i="4" s="1"/>
  <c r="D65" i="4"/>
  <c r="C65" i="4"/>
  <c r="E65" i="4" s="1"/>
  <c r="K65" i="4" s="1"/>
  <c r="D64" i="4"/>
  <c r="C64" i="4"/>
  <c r="E64" i="4" s="1"/>
  <c r="K64" i="4" s="1"/>
  <c r="D63" i="4"/>
  <c r="C63" i="4"/>
  <c r="E63" i="4" s="1"/>
  <c r="K63" i="4" s="1"/>
  <c r="D62" i="4"/>
  <c r="C62" i="4"/>
  <c r="E62" i="4" s="1"/>
  <c r="K62" i="4" s="1"/>
  <c r="D61" i="4"/>
  <c r="C61" i="4"/>
  <c r="E61" i="4" s="1"/>
  <c r="K61" i="4" s="1"/>
  <c r="D60" i="4"/>
  <c r="C60" i="4"/>
  <c r="E60" i="4" s="1"/>
  <c r="K60" i="4" s="1"/>
  <c r="D59" i="4"/>
  <c r="C59" i="4"/>
  <c r="E59" i="4" s="1"/>
  <c r="K59" i="4" s="1"/>
  <c r="D58" i="4"/>
  <c r="C58" i="4"/>
  <c r="E58" i="4" s="1"/>
  <c r="K58" i="4" s="1"/>
  <c r="D57" i="4"/>
  <c r="C57" i="4"/>
  <c r="E57" i="4" s="1"/>
  <c r="K57" i="4" s="1"/>
  <c r="D56" i="4"/>
  <c r="C56" i="4"/>
  <c r="E56" i="4" s="1"/>
  <c r="K56" i="4" s="1"/>
  <c r="D55" i="4"/>
  <c r="C55" i="4"/>
  <c r="E55" i="4" s="1"/>
  <c r="K55" i="4" s="1"/>
  <c r="D54" i="4"/>
  <c r="C54" i="4"/>
  <c r="E54" i="4" s="1"/>
  <c r="K54" i="4" s="1"/>
  <c r="D53" i="4"/>
  <c r="C53" i="4"/>
  <c r="E53" i="4" s="1"/>
  <c r="K53" i="4" s="1"/>
  <c r="D52" i="4"/>
  <c r="C52" i="4"/>
  <c r="E52" i="4" s="1"/>
  <c r="K52" i="4" s="1"/>
  <c r="D51" i="4"/>
  <c r="C51" i="4"/>
  <c r="E51" i="4" s="1"/>
  <c r="K51" i="4" s="1"/>
  <c r="D50" i="4"/>
  <c r="C50" i="4"/>
  <c r="E50" i="4" s="1"/>
  <c r="K50" i="4" s="1"/>
  <c r="D49" i="4"/>
  <c r="C49" i="4"/>
  <c r="E49" i="4" s="1"/>
  <c r="K49" i="4" s="1"/>
  <c r="D48" i="4"/>
  <c r="C48" i="4"/>
  <c r="E48" i="4" s="1"/>
  <c r="K48" i="4" s="1"/>
  <c r="D47" i="4"/>
  <c r="C47" i="4"/>
  <c r="E47" i="4" s="1"/>
  <c r="K47" i="4" s="1"/>
  <c r="D46" i="4"/>
  <c r="C46" i="4"/>
  <c r="E46" i="4" s="1"/>
  <c r="K46" i="4" s="1"/>
  <c r="D45" i="4"/>
  <c r="C45" i="4"/>
  <c r="E45" i="4" s="1"/>
  <c r="K45" i="4" s="1"/>
  <c r="D44" i="4"/>
  <c r="C44" i="4"/>
  <c r="E44" i="4" s="1"/>
  <c r="K44" i="4" s="1"/>
  <c r="D43" i="4"/>
  <c r="C43" i="4"/>
  <c r="E43" i="4" s="1"/>
  <c r="K43" i="4" s="1"/>
  <c r="D42" i="4"/>
  <c r="C42" i="4"/>
  <c r="E42" i="4" s="1"/>
  <c r="K42" i="4" s="1"/>
  <c r="D41" i="4"/>
  <c r="C41" i="4"/>
  <c r="E41" i="4" s="1"/>
  <c r="K41" i="4" s="1"/>
  <c r="D40" i="4"/>
  <c r="C40" i="4"/>
  <c r="E40" i="4" s="1"/>
  <c r="K40" i="4" s="1"/>
  <c r="D39" i="4"/>
  <c r="C39" i="4"/>
  <c r="E39" i="4" s="1"/>
  <c r="K39" i="4" s="1"/>
  <c r="D38" i="4"/>
  <c r="C38" i="4"/>
  <c r="E38" i="4" s="1"/>
  <c r="K38" i="4" s="1"/>
  <c r="D37" i="4"/>
  <c r="C37" i="4"/>
  <c r="E37" i="4" s="1"/>
  <c r="K37" i="4" s="1"/>
  <c r="D36" i="4"/>
  <c r="C36" i="4"/>
  <c r="E36" i="4" s="1"/>
  <c r="K36" i="4" s="1"/>
  <c r="D35" i="4"/>
  <c r="C35" i="4"/>
  <c r="E35" i="4" s="1"/>
  <c r="K35" i="4" s="1"/>
  <c r="D34" i="4"/>
  <c r="C34" i="4"/>
  <c r="E34" i="4" s="1"/>
  <c r="K34" i="4" s="1"/>
  <c r="D33" i="4"/>
  <c r="C33" i="4"/>
  <c r="E33" i="4" s="1"/>
  <c r="K33" i="4" s="1"/>
  <c r="D32" i="4"/>
  <c r="C32" i="4"/>
  <c r="E32" i="4" s="1"/>
  <c r="K32" i="4" s="1"/>
  <c r="D31" i="4"/>
  <c r="C31" i="4"/>
  <c r="E31" i="4" s="1"/>
  <c r="K31" i="4" s="1"/>
  <c r="D30" i="4"/>
  <c r="C30" i="4"/>
  <c r="E30" i="4" s="1"/>
  <c r="K30" i="4" s="1"/>
  <c r="D29" i="4"/>
  <c r="C29" i="4"/>
  <c r="E29" i="4" s="1"/>
  <c r="K29" i="4" s="1"/>
  <c r="D28" i="4"/>
  <c r="C28" i="4"/>
  <c r="E28" i="4" s="1"/>
  <c r="K28" i="4" s="1"/>
  <c r="D27" i="4"/>
  <c r="C27" i="4"/>
  <c r="E27" i="4" s="1"/>
  <c r="K27" i="4" s="1"/>
  <c r="D26" i="4"/>
  <c r="C26" i="4"/>
  <c r="E26" i="4" s="1"/>
  <c r="K26" i="4" s="1"/>
  <c r="D25" i="4"/>
  <c r="C25" i="4"/>
  <c r="E25" i="4" s="1"/>
  <c r="K25" i="4" s="1"/>
  <c r="D24" i="4"/>
  <c r="C24" i="4"/>
  <c r="E24" i="4" s="1"/>
  <c r="K24" i="4" s="1"/>
  <c r="D23" i="4"/>
  <c r="C23" i="4"/>
  <c r="E23" i="4" s="1"/>
  <c r="K23" i="4" s="1"/>
  <c r="D22" i="4"/>
  <c r="C22" i="4"/>
  <c r="E22" i="4" s="1"/>
  <c r="K22" i="4" s="1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R24" i="1"/>
  <c r="R23" i="1"/>
  <c r="K23" i="1"/>
  <c r="C22" i="3"/>
  <c r="E22" i="3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D263" i="3"/>
  <c r="C263" i="3"/>
  <c r="D262" i="3"/>
  <c r="C262" i="3"/>
  <c r="D261" i="3"/>
  <c r="C261" i="3"/>
  <c r="D260" i="3"/>
  <c r="C260" i="3"/>
  <c r="D259" i="3"/>
  <c r="C259" i="3"/>
  <c r="D258" i="3"/>
  <c r="C258" i="3"/>
  <c r="D257" i="3"/>
  <c r="C257" i="3"/>
  <c r="D256" i="3"/>
  <c r="C256" i="3"/>
  <c r="D255" i="3"/>
  <c r="C255" i="3"/>
  <c r="D254" i="3"/>
  <c r="C254" i="3"/>
  <c r="D253" i="3"/>
  <c r="C253" i="3"/>
  <c r="D252" i="3"/>
  <c r="C252" i="3"/>
  <c r="D251" i="3"/>
  <c r="C251" i="3"/>
  <c r="D250" i="3"/>
  <c r="C250" i="3"/>
  <c r="D249" i="3"/>
  <c r="C249" i="3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28" i="3"/>
  <c r="C228" i="3"/>
  <c r="D227" i="3"/>
  <c r="C227" i="3"/>
  <c r="D226" i="3"/>
  <c r="C226" i="3"/>
  <c r="D225" i="3"/>
  <c r="C225" i="3"/>
  <c r="D224" i="3"/>
  <c r="C224" i="3"/>
  <c r="D223" i="3"/>
  <c r="C223" i="3"/>
  <c r="D222" i="3"/>
  <c r="C222" i="3"/>
  <c r="D221" i="3"/>
  <c r="C221" i="3"/>
  <c r="D220" i="3"/>
  <c r="C220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D200" i="3"/>
  <c r="C200" i="3"/>
  <c r="D199" i="3"/>
  <c r="C199" i="3"/>
  <c r="D198" i="3"/>
  <c r="C198" i="3"/>
  <c r="E197" i="3"/>
  <c r="D197" i="3"/>
  <c r="C197" i="3"/>
  <c r="E196" i="3"/>
  <c r="D196" i="3"/>
  <c r="C196" i="3"/>
  <c r="E195" i="3"/>
  <c r="D195" i="3"/>
  <c r="C195" i="3"/>
  <c r="E194" i="3"/>
  <c r="D194" i="3"/>
  <c r="C194" i="3"/>
  <c r="E193" i="3"/>
  <c r="D193" i="3"/>
  <c r="C193" i="3"/>
  <c r="E192" i="3"/>
  <c r="D192" i="3"/>
  <c r="C192" i="3"/>
  <c r="E191" i="3"/>
  <c r="D191" i="3"/>
  <c r="C191" i="3"/>
  <c r="E190" i="3"/>
  <c r="D190" i="3"/>
  <c r="C190" i="3"/>
  <c r="E189" i="3"/>
  <c r="D189" i="3"/>
  <c r="C189" i="3"/>
  <c r="E188" i="3"/>
  <c r="D188" i="3"/>
  <c r="C188" i="3"/>
  <c r="E187" i="3"/>
  <c r="D187" i="3"/>
  <c r="C187" i="3"/>
  <c r="E186" i="3"/>
  <c r="D186" i="3"/>
  <c r="C186" i="3"/>
  <c r="E185" i="3"/>
  <c r="D185" i="3"/>
  <c r="C185" i="3"/>
  <c r="E184" i="3"/>
  <c r="D184" i="3"/>
  <c r="C184" i="3"/>
  <c r="E183" i="3"/>
  <c r="D183" i="3"/>
  <c r="C183" i="3"/>
  <c r="E182" i="3"/>
  <c r="D182" i="3"/>
  <c r="C182" i="3"/>
  <c r="E181" i="3"/>
  <c r="D181" i="3"/>
  <c r="C181" i="3"/>
  <c r="E180" i="3"/>
  <c r="D180" i="3"/>
  <c r="C180" i="3"/>
  <c r="E179" i="3"/>
  <c r="D179" i="3"/>
  <c r="C179" i="3"/>
  <c r="E178" i="3"/>
  <c r="D178" i="3"/>
  <c r="C178" i="3"/>
  <c r="E177" i="3"/>
  <c r="D177" i="3"/>
  <c r="C177" i="3"/>
  <c r="E176" i="3"/>
  <c r="D176" i="3"/>
  <c r="C176" i="3"/>
  <c r="E175" i="3"/>
  <c r="D175" i="3"/>
  <c r="C175" i="3"/>
  <c r="E174" i="3"/>
  <c r="D174" i="3"/>
  <c r="C174" i="3"/>
  <c r="E173" i="3"/>
  <c r="D173" i="3"/>
  <c r="C173" i="3"/>
  <c r="E172" i="3"/>
  <c r="D172" i="3"/>
  <c r="C172" i="3"/>
  <c r="E171" i="3"/>
  <c r="D171" i="3"/>
  <c r="C171" i="3"/>
  <c r="E170" i="3"/>
  <c r="D170" i="3"/>
  <c r="C170" i="3"/>
  <c r="E169" i="3"/>
  <c r="D169" i="3"/>
  <c r="C169" i="3"/>
  <c r="E168" i="3"/>
  <c r="D168" i="3"/>
  <c r="C168" i="3"/>
  <c r="E167" i="3"/>
  <c r="D167" i="3"/>
  <c r="C167" i="3"/>
  <c r="E166" i="3"/>
  <c r="D166" i="3"/>
  <c r="C166" i="3"/>
  <c r="E165" i="3"/>
  <c r="D165" i="3"/>
  <c r="C165" i="3"/>
  <c r="E164" i="3"/>
  <c r="D164" i="3"/>
  <c r="C164" i="3"/>
  <c r="E163" i="3"/>
  <c r="D163" i="3"/>
  <c r="C163" i="3"/>
  <c r="E162" i="3"/>
  <c r="D162" i="3"/>
  <c r="C162" i="3"/>
  <c r="E161" i="3"/>
  <c r="D161" i="3"/>
  <c r="C161" i="3"/>
  <c r="E160" i="3"/>
  <c r="D160" i="3"/>
  <c r="C160" i="3"/>
  <c r="E159" i="3"/>
  <c r="D159" i="3"/>
  <c r="C159" i="3"/>
  <c r="E158" i="3"/>
  <c r="D158" i="3"/>
  <c r="C158" i="3"/>
  <c r="E157" i="3"/>
  <c r="D157" i="3"/>
  <c r="C157" i="3"/>
  <c r="E156" i="3"/>
  <c r="D156" i="3"/>
  <c r="C156" i="3"/>
  <c r="E155" i="3"/>
  <c r="D155" i="3"/>
  <c r="C155" i="3"/>
  <c r="E154" i="3"/>
  <c r="D154" i="3"/>
  <c r="C154" i="3"/>
  <c r="E153" i="3"/>
  <c r="D153" i="3"/>
  <c r="C153" i="3"/>
  <c r="E152" i="3"/>
  <c r="D152" i="3"/>
  <c r="C152" i="3"/>
  <c r="E151" i="3"/>
  <c r="D151" i="3"/>
  <c r="C151" i="3"/>
  <c r="E150" i="3"/>
  <c r="D150" i="3"/>
  <c r="C150" i="3"/>
  <c r="E149" i="3"/>
  <c r="D149" i="3"/>
  <c r="C149" i="3"/>
  <c r="E148" i="3"/>
  <c r="D148" i="3"/>
  <c r="C148" i="3"/>
  <c r="E147" i="3"/>
  <c r="D147" i="3"/>
  <c r="C147" i="3"/>
  <c r="E146" i="3"/>
  <c r="D146" i="3"/>
  <c r="C146" i="3"/>
  <c r="E145" i="3"/>
  <c r="D145" i="3"/>
  <c r="C145" i="3"/>
  <c r="E144" i="3"/>
  <c r="D144" i="3"/>
  <c r="C144" i="3"/>
  <c r="E143" i="3"/>
  <c r="D143" i="3"/>
  <c r="C143" i="3"/>
  <c r="E142" i="3"/>
  <c r="D142" i="3"/>
  <c r="C142" i="3"/>
  <c r="E141" i="3"/>
  <c r="D141" i="3"/>
  <c r="C141" i="3"/>
  <c r="E140" i="3"/>
  <c r="D140" i="3"/>
  <c r="C140" i="3"/>
  <c r="E139" i="3"/>
  <c r="D139" i="3"/>
  <c r="C139" i="3"/>
  <c r="E138" i="3"/>
  <c r="D138" i="3"/>
  <c r="C138" i="3"/>
  <c r="E137" i="3"/>
  <c r="D137" i="3"/>
  <c r="C137" i="3"/>
  <c r="E136" i="3"/>
  <c r="D136" i="3"/>
  <c r="C136" i="3"/>
  <c r="E135" i="3"/>
  <c r="D135" i="3"/>
  <c r="C135" i="3"/>
  <c r="E134" i="3"/>
  <c r="D134" i="3"/>
  <c r="C134" i="3"/>
  <c r="E133" i="3"/>
  <c r="D133" i="3"/>
  <c r="C133" i="3"/>
  <c r="E132" i="3"/>
  <c r="D132" i="3"/>
  <c r="C132" i="3"/>
  <c r="E131" i="3"/>
  <c r="D131" i="3"/>
  <c r="C131" i="3"/>
  <c r="E130" i="3"/>
  <c r="D130" i="3"/>
  <c r="C130" i="3"/>
  <c r="E129" i="3"/>
  <c r="D129" i="3"/>
  <c r="C129" i="3"/>
  <c r="E128" i="3"/>
  <c r="D128" i="3"/>
  <c r="C128" i="3"/>
  <c r="E127" i="3"/>
  <c r="D127" i="3"/>
  <c r="C127" i="3"/>
  <c r="E126" i="3"/>
  <c r="D126" i="3"/>
  <c r="C126" i="3"/>
  <c r="E125" i="3"/>
  <c r="D125" i="3"/>
  <c r="C125" i="3"/>
  <c r="E124" i="3"/>
  <c r="D124" i="3"/>
  <c r="C124" i="3"/>
  <c r="E123" i="3"/>
  <c r="D123" i="3"/>
  <c r="C123" i="3"/>
  <c r="E122" i="3"/>
  <c r="D122" i="3"/>
  <c r="C122" i="3"/>
  <c r="E121" i="3"/>
  <c r="D121" i="3"/>
  <c r="C121" i="3"/>
  <c r="E120" i="3"/>
  <c r="D120" i="3"/>
  <c r="C120" i="3"/>
  <c r="E119" i="3"/>
  <c r="D119" i="3"/>
  <c r="C119" i="3"/>
  <c r="E118" i="3"/>
  <c r="D118" i="3"/>
  <c r="C118" i="3"/>
  <c r="E117" i="3"/>
  <c r="D117" i="3"/>
  <c r="C117" i="3"/>
  <c r="D116" i="3"/>
  <c r="C116" i="3"/>
  <c r="E116" i="3" s="1"/>
  <c r="D115" i="3"/>
  <c r="C115" i="3"/>
  <c r="E115" i="3" s="1"/>
  <c r="E114" i="3"/>
  <c r="D114" i="3"/>
  <c r="C114" i="3"/>
  <c r="E113" i="3"/>
  <c r="D113" i="3"/>
  <c r="C113" i="3"/>
  <c r="E112" i="3"/>
  <c r="D112" i="3"/>
  <c r="C112" i="3"/>
  <c r="D111" i="3"/>
  <c r="E111" i="3" s="1"/>
  <c r="C111" i="3"/>
  <c r="E110" i="3"/>
  <c r="D110" i="3"/>
  <c r="C110" i="3"/>
  <c r="D109" i="3"/>
  <c r="E109" i="3" s="1"/>
  <c r="C109" i="3"/>
  <c r="D108" i="3"/>
  <c r="C108" i="3"/>
  <c r="E108" i="3" s="1"/>
  <c r="D107" i="3"/>
  <c r="C107" i="3"/>
  <c r="E107" i="3" s="1"/>
  <c r="D106" i="3"/>
  <c r="C106" i="3"/>
  <c r="E105" i="3"/>
  <c r="D105" i="3"/>
  <c r="C105" i="3"/>
  <c r="E104" i="3"/>
  <c r="D104" i="3"/>
  <c r="C104" i="3"/>
  <c r="E103" i="3"/>
  <c r="D103" i="3"/>
  <c r="C103" i="3"/>
  <c r="D102" i="3"/>
  <c r="C102" i="3"/>
  <c r="E102" i="3" s="1"/>
  <c r="D101" i="3"/>
  <c r="C101" i="3"/>
  <c r="E101" i="3" s="1"/>
  <c r="D100" i="3"/>
  <c r="E100" i="3" s="1"/>
  <c r="C100" i="3"/>
  <c r="D99" i="3"/>
  <c r="E99" i="3" s="1"/>
  <c r="C99" i="3"/>
  <c r="D98" i="3"/>
  <c r="C98" i="3"/>
  <c r="E98" i="3" s="1"/>
  <c r="D97" i="3"/>
  <c r="C97" i="3"/>
  <c r="E97" i="3" s="1"/>
  <c r="D96" i="3"/>
  <c r="C96" i="3"/>
  <c r="E96" i="3" s="1"/>
  <c r="D95" i="3"/>
  <c r="C95" i="3"/>
  <c r="E95" i="3" s="1"/>
  <c r="E94" i="3"/>
  <c r="D94" i="3"/>
  <c r="C94" i="3"/>
  <c r="D93" i="3"/>
  <c r="E93" i="3" s="1"/>
  <c r="C93" i="3"/>
  <c r="D92" i="3"/>
  <c r="E92" i="3" s="1"/>
  <c r="C92" i="3"/>
  <c r="E91" i="3"/>
  <c r="D91" i="3"/>
  <c r="C91" i="3"/>
  <c r="D90" i="3"/>
  <c r="C90" i="3"/>
  <c r="E90" i="3" s="1"/>
  <c r="D89" i="3"/>
  <c r="C89" i="3"/>
  <c r="E89" i="3" s="1"/>
  <c r="E88" i="3"/>
  <c r="D88" i="3"/>
  <c r="C88" i="3"/>
  <c r="E87" i="3"/>
  <c r="D87" i="3"/>
  <c r="C87" i="3"/>
  <c r="D86" i="3"/>
  <c r="C86" i="3"/>
  <c r="E86" i="3" s="1"/>
  <c r="D85" i="3"/>
  <c r="C85" i="3"/>
  <c r="E85" i="3" s="1"/>
  <c r="D84" i="3"/>
  <c r="E84" i="3" s="1"/>
  <c r="C84" i="3"/>
  <c r="E83" i="3"/>
  <c r="D83" i="3"/>
  <c r="C83" i="3"/>
  <c r="D82" i="3"/>
  <c r="C82" i="3"/>
  <c r="E82" i="3" s="1"/>
  <c r="D81" i="3"/>
  <c r="C81" i="3"/>
  <c r="E81" i="3" s="1"/>
  <c r="D80" i="3"/>
  <c r="C80" i="3"/>
  <c r="E80" i="3" s="1"/>
  <c r="D79" i="3"/>
  <c r="C79" i="3"/>
  <c r="E79" i="3" s="1"/>
  <c r="E78" i="3"/>
  <c r="D78" i="3"/>
  <c r="C78" i="3"/>
  <c r="D77" i="3"/>
  <c r="E77" i="3" s="1"/>
  <c r="C77" i="3"/>
  <c r="D76" i="3"/>
  <c r="E76" i="3" s="1"/>
  <c r="C76" i="3"/>
  <c r="E75" i="3"/>
  <c r="D75" i="3"/>
  <c r="C75" i="3"/>
  <c r="D74" i="3"/>
  <c r="C74" i="3"/>
  <c r="E74" i="3" s="1"/>
  <c r="D73" i="3"/>
  <c r="C73" i="3"/>
  <c r="E73" i="3" s="1"/>
  <c r="D72" i="3"/>
  <c r="E72" i="3" s="1"/>
  <c r="C72" i="3"/>
  <c r="E71" i="3"/>
  <c r="D71" i="3"/>
  <c r="C71" i="3"/>
  <c r="D70" i="3"/>
  <c r="C70" i="3"/>
  <c r="E70" i="3" s="1"/>
  <c r="D69" i="3"/>
  <c r="C69" i="3"/>
  <c r="E69" i="3" s="1"/>
  <c r="D68" i="3"/>
  <c r="E68" i="3" s="1"/>
  <c r="C68" i="3"/>
  <c r="E67" i="3"/>
  <c r="D67" i="3"/>
  <c r="C67" i="3"/>
  <c r="D66" i="3"/>
  <c r="C66" i="3"/>
  <c r="E66" i="3" s="1"/>
  <c r="D65" i="3"/>
  <c r="C65" i="3"/>
  <c r="E65" i="3" s="1"/>
  <c r="D64" i="3"/>
  <c r="E64" i="3" s="1"/>
  <c r="C64" i="3"/>
  <c r="E63" i="3"/>
  <c r="D63" i="3"/>
  <c r="C63" i="3"/>
  <c r="D62" i="3"/>
  <c r="C62" i="3"/>
  <c r="E62" i="3" s="1"/>
  <c r="D61" i="3"/>
  <c r="C61" i="3"/>
  <c r="E61" i="3" s="1"/>
  <c r="D60" i="3"/>
  <c r="E60" i="3" s="1"/>
  <c r="C60" i="3"/>
  <c r="E59" i="3"/>
  <c r="D59" i="3"/>
  <c r="C59" i="3"/>
  <c r="D58" i="3"/>
  <c r="C58" i="3"/>
  <c r="E58" i="3" s="1"/>
  <c r="D57" i="3"/>
  <c r="C57" i="3"/>
  <c r="E57" i="3" s="1"/>
  <c r="D56" i="3"/>
  <c r="E56" i="3" s="1"/>
  <c r="C56" i="3"/>
  <c r="E55" i="3"/>
  <c r="D55" i="3"/>
  <c r="C55" i="3"/>
  <c r="D54" i="3"/>
  <c r="C54" i="3"/>
  <c r="E54" i="3" s="1"/>
  <c r="D53" i="3"/>
  <c r="C53" i="3"/>
  <c r="E53" i="3" s="1"/>
  <c r="D52" i="3"/>
  <c r="E52" i="3" s="1"/>
  <c r="C52" i="3"/>
  <c r="E51" i="3"/>
  <c r="D51" i="3"/>
  <c r="C51" i="3"/>
  <c r="D50" i="3"/>
  <c r="C50" i="3"/>
  <c r="E50" i="3" s="1"/>
  <c r="D49" i="3"/>
  <c r="C49" i="3"/>
  <c r="E49" i="3" s="1"/>
  <c r="D48" i="3"/>
  <c r="E48" i="3" s="1"/>
  <c r="C48" i="3"/>
  <c r="E47" i="3"/>
  <c r="D47" i="3"/>
  <c r="C47" i="3"/>
  <c r="D46" i="3"/>
  <c r="C46" i="3"/>
  <c r="E46" i="3" s="1"/>
  <c r="D45" i="3"/>
  <c r="C45" i="3"/>
  <c r="E45" i="3" s="1"/>
  <c r="D44" i="3"/>
  <c r="E44" i="3" s="1"/>
  <c r="C44" i="3"/>
  <c r="E43" i="3"/>
  <c r="D43" i="3"/>
  <c r="C43" i="3"/>
  <c r="D42" i="3"/>
  <c r="C42" i="3"/>
  <c r="E42" i="3" s="1"/>
  <c r="D41" i="3"/>
  <c r="C41" i="3"/>
  <c r="E41" i="3" s="1"/>
  <c r="D40" i="3"/>
  <c r="E40" i="3" s="1"/>
  <c r="C40" i="3"/>
  <c r="E39" i="3"/>
  <c r="D39" i="3"/>
  <c r="C39" i="3"/>
  <c r="D38" i="3"/>
  <c r="C38" i="3"/>
  <c r="E38" i="3" s="1"/>
  <c r="D37" i="3"/>
  <c r="C37" i="3"/>
  <c r="E37" i="3" s="1"/>
  <c r="D36" i="3"/>
  <c r="E36" i="3" s="1"/>
  <c r="C36" i="3"/>
  <c r="E35" i="3"/>
  <c r="D35" i="3"/>
  <c r="C35" i="3"/>
  <c r="D34" i="3"/>
  <c r="C34" i="3"/>
  <c r="E34" i="3" s="1"/>
  <c r="D33" i="3"/>
  <c r="C33" i="3"/>
  <c r="E33" i="3" s="1"/>
  <c r="D32" i="3"/>
  <c r="E32" i="3" s="1"/>
  <c r="C32" i="3"/>
  <c r="E31" i="3"/>
  <c r="D31" i="3"/>
  <c r="C31" i="3"/>
  <c r="D30" i="3"/>
  <c r="C30" i="3"/>
  <c r="E30" i="3" s="1"/>
  <c r="D29" i="3"/>
  <c r="C29" i="3"/>
  <c r="E29" i="3" s="1"/>
  <c r="D28" i="3"/>
  <c r="E28" i="3" s="1"/>
  <c r="C28" i="3"/>
  <c r="E27" i="3"/>
  <c r="D27" i="3"/>
  <c r="C27" i="3"/>
  <c r="D26" i="3"/>
  <c r="E26" i="3" s="1"/>
  <c r="C26" i="3"/>
  <c r="D25" i="3"/>
  <c r="C25" i="3"/>
  <c r="E25" i="3" s="1"/>
  <c r="D24" i="3"/>
  <c r="E24" i="3" s="1"/>
  <c r="C24" i="3"/>
  <c r="E23" i="3"/>
  <c r="D23" i="3"/>
  <c r="C23" i="3"/>
  <c r="D22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R116" i="1"/>
  <c r="R115" i="1"/>
  <c r="R114" i="1"/>
  <c r="R113" i="1"/>
  <c r="R108" i="1"/>
  <c r="R107" i="1"/>
  <c r="R106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2" i="1"/>
  <c r="K22" i="1"/>
  <c r="E26" i="1"/>
  <c r="K26" i="1" s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E197" i="1" s="1"/>
  <c r="K197" i="1" s="1"/>
  <c r="C196" i="1"/>
  <c r="E196" i="1" s="1"/>
  <c r="K196" i="1" s="1"/>
  <c r="C195" i="1"/>
  <c r="E195" i="1" s="1"/>
  <c r="K195" i="1" s="1"/>
  <c r="C194" i="1"/>
  <c r="E194" i="1" s="1"/>
  <c r="K194" i="1" s="1"/>
  <c r="C193" i="1"/>
  <c r="E193" i="1" s="1"/>
  <c r="K193" i="1" s="1"/>
  <c r="C192" i="1"/>
  <c r="E192" i="1" s="1"/>
  <c r="K192" i="1" s="1"/>
  <c r="C191" i="1"/>
  <c r="E191" i="1" s="1"/>
  <c r="K191" i="1" s="1"/>
  <c r="C190" i="1"/>
  <c r="E190" i="1" s="1"/>
  <c r="K190" i="1" s="1"/>
  <c r="C189" i="1"/>
  <c r="E189" i="1" s="1"/>
  <c r="K189" i="1" s="1"/>
  <c r="C188" i="1"/>
  <c r="E188" i="1" s="1"/>
  <c r="K188" i="1" s="1"/>
  <c r="C187" i="1"/>
  <c r="E187" i="1" s="1"/>
  <c r="K187" i="1" s="1"/>
  <c r="C186" i="1"/>
  <c r="E186" i="1" s="1"/>
  <c r="K186" i="1" s="1"/>
  <c r="C185" i="1"/>
  <c r="E185" i="1" s="1"/>
  <c r="K185" i="1" s="1"/>
  <c r="C184" i="1"/>
  <c r="E184" i="1" s="1"/>
  <c r="K184" i="1" s="1"/>
  <c r="C183" i="1"/>
  <c r="E183" i="1" s="1"/>
  <c r="K183" i="1" s="1"/>
  <c r="C182" i="1"/>
  <c r="E182" i="1" s="1"/>
  <c r="K182" i="1" s="1"/>
  <c r="C181" i="1"/>
  <c r="E181" i="1" s="1"/>
  <c r="K181" i="1" s="1"/>
  <c r="C180" i="1"/>
  <c r="E180" i="1" s="1"/>
  <c r="K180" i="1" s="1"/>
  <c r="C179" i="1"/>
  <c r="E179" i="1" s="1"/>
  <c r="K179" i="1" s="1"/>
  <c r="C178" i="1"/>
  <c r="E178" i="1" s="1"/>
  <c r="K178" i="1" s="1"/>
  <c r="C177" i="1"/>
  <c r="E177" i="1" s="1"/>
  <c r="K177" i="1" s="1"/>
  <c r="C176" i="1"/>
  <c r="E176" i="1" s="1"/>
  <c r="K176" i="1" s="1"/>
  <c r="C175" i="1"/>
  <c r="E175" i="1" s="1"/>
  <c r="K175" i="1" s="1"/>
  <c r="C174" i="1"/>
  <c r="E174" i="1" s="1"/>
  <c r="K174" i="1" s="1"/>
  <c r="C173" i="1"/>
  <c r="E173" i="1" s="1"/>
  <c r="K173" i="1" s="1"/>
  <c r="C172" i="1"/>
  <c r="E172" i="1" s="1"/>
  <c r="K172" i="1" s="1"/>
  <c r="C171" i="1"/>
  <c r="E171" i="1" s="1"/>
  <c r="K171" i="1" s="1"/>
  <c r="C170" i="1"/>
  <c r="E170" i="1" s="1"/>
  <c r="K170" i="1" s="1"/>
  <c r="C169" i="1"/>
  <c r="E169" i="1" s="1"/>
  <c r="K169" i="1" s="1"/>
  <c r="C168" i="1"/>
  <c r="E168" i="1" s="1"/>
  <c r="K168" i="1" s="1"/>
  <c r="C167" i="1"/>
  <c r="E167" i="1" s="1"/>
  <c r="K167" i="1" s="1"/>
  <c r="C166" i="1"/>
  <c r="E166" i="1" s="1"/>
  <c r="K166" i="1" s="1"/>
  <c r="C165" i="1"/>
  <c r="E165" i="1" s="1"/>
  <c r="K165" i="1" s="1"/>
  <c r="C164" i="1"/>
  <c r="E164" i="1" s="1"/>
  <c r="K164" i="1" s="1"/>
  <c r="C163" i="1"/>
  <c r="E163" i="1" s="1"/>
  <c r="K163" i="1" s="1"/>
  <c r="C162" i="1"/>
  <c r="E162" i="1" s="1"/>
  <c r="K162" i="1" s="1"/>
  <c r="C161" i="1"/>
  <c r="E161" i="1" s="1"/>
  <c r="K161" i="1" s="1"/>
  <c r="C160" i="1"/>
  <c r="E160" i="1" s="1"/>
  <c r="K160" i="1" s="1"/>
  <c r="C159" i="1"/>
  <c r="E159" i="1" s="1"/>
  <c r="K159" i="1" s="1"/>
  <c r="C158" i="1"/>
  <c r="E158" i="1" s="1"/>
  <c r="K158" i="1" s="1"/>
  <c r="C157" i="1"/>
  <c r="E157" i="1" s="1"/>
  <c r="K157" i="1" s="1"/>
  <c r="C156" i="1"/>
  <c r="E156" i="1" s="1"/>
  <c r="K156" i="1" s="1"/>
  <c r="C155" i="1"/>
  <c r="E155" i="1" s="1"/>
  <c r="K155" i="1" s="1"/>
  <c r="C154" i="1"/>
  <c r="E154" i="1" s="1"/>
  <c r="K154" i="1" s="1"/>
  <c r="C153" i="1"/>
  <c r="E153" i="1" s="1"/>
  <c r="K153" i="1" s="1"/>
  <c r="C152" i="1"/>
  <c r="E152" i="1" s="1"/>
  <c r="K152" i="1" s="1"/>
  <c r="C151" i="1"/>
  <c r="E151" i="1" s="1"/>
  <c r="K151" i="1" s="1"/>
  <c r="C150" i="1"/>
  <c r="E150" i="1" s="1"/>
  <c r="K150" i="1" s="1"/>
  <c r="C149" i="1"/>
  <c r="E149" i="1" s="1"/>
  <c r="K149" i="1" s="1"/>
  <c r="C148" i="1"/>
  <c r="E148" i="1" s="1"/>
  <c r="K148" i="1" s="1"/>
  <c r="C147" i="1"/>
  <c r="E147" i="1" s="1"/>
  <c r="K147" i="1" s="1"/>
  <c r="C146" i="1"/>
  <c r="E146" i="1" s="1"/>
  <c r="K146" i="1" s="1"/>
  <c r="C145" i="1"/>
  <c r="E145" i="1" s="1"/>
  <c r="K145" i="1" s="1"/>
  <c r="C144" i="1"/>
  <c r="E144" i="1" s="1"/>
  <c r="K144" i="1" s="1"/>
  <c r="C143" i="1"/>
  <c r="E143" i="1" s="1"/>
  <c r="K143" i="1" s="1"/>
  <c r="C142" i="1"/>
  <c r="E142" i="1" s="1"/>
  <c r="K142" i="1" s="1"/>
  <c r="C141" i="1"/>
  <c r="E141" i="1" s="1"/>
  <c r="K141" i="1" s="1"/>
  <c r="C140" i="1"/>
  <c r="E140" i="1" s="1"/>
  <c r="K140" i="1" s="1"/>
  <c r="C139" i="1"/>
  <c r="E139" i="1" s="1"/>
  <c r="K139" i="1" s="1"/>
  <c r="C138" i="1"/>
  <c r="E138" i="1" s="1"/>
  <c r="K138" i="1" s="1"/>
  <c r="C137" i="1"/>
  <c r="E137" i="1" s="1"/>
  <c r="K137" i="1" s="1"/>
  <c r="C136" i="1"/>
  <c r="E136" i="1" s="1"/>
  <c r="K136" i="1" s="1"/>
  <c r="C135" i="1"/>
  <c r="E135" i="1" s="1"/>
  <c r="K135" i="1" s="1"/>
  <c r="C134" i="1"/>
  <c r="E134" i="1" s="1"/>
  <c r="K134" i="1" s="1"/>
  <c r="C133" i="1"/>
  <c r="E133" i="1" s="1"/>
  <c r="K133" i="1" s="1"/>
  <c r="C132" i="1"/>
  <c r="E132" i="1" s="1"/>
  <c r="K132" i="1" s="1"/>
  <c r="C131" i="1"/>
  <c r="E131" i="1" s="1"/>
  <c r="K131" i="1" s="1"/>
  <c r="C130" i="1"/>
  <c r="E130" i="1" s="1"/>
  <c r="K130" i="1" s="1"/>
  <c r="C129" i="1"/>
  <c r="E129" i="1" s="1"/>
  <c r="K129" i="1" s="1"/>
  <c r="C128" i="1"/>
  <c r="E128" i="1" s="1"/>
  <c r="K128" i="1" s="1"/>
  <c r="C127" i="1"/>
  <c r="E127" i="1" s="1"/>
  <c r="K127" i="1" s="1"/>
  <c r="C126" i="1"/>
  <c r="E126" i="1" s="1"/>
  <c r="K126" i="1" s="1"/>
  <c r="C125" i="1"/>
  <c r="E125" i="1" s="1"/>
  <c r="K125" i="1" s="1"/>
  <c r="C124" i="1"/>
  <c r="E124" i="1" s="1"/>
  <c r="K124" i="1" s="1"/>
  <c r="C123" i="1"/>
  <c r="E123" i="1" s="1"/>
  <c r="K123" i="1" s="1"/>
  <c r="C122" i="1"/>
  <c r="E122" i="1" s="1"/>
  <c r="K122" i="1" s="1"/>
  <c r="C121" i="1"/>
  <c r="E121" i="1" s="1"/>
  <c r="K121" i="1" s="1"/>
  <c r="C120" i="1"/>
  <c r="E120" i="1" s="1"/>
  <c r="K120" i="1" s="1"/>
  <c r="C119" i="1"/>
  <c r="E119" i="1" s="1"/>
  <c r="K119" i="1" s="1"/>
  <c r="C118" i="1"/>
  <c r="E118" i="1" s="1"/>
  <c r="K118" i="1" s="1"/>
  <c r="C117" i="1"/>
  <c r="E117" i="1" s="1"/>
  <c r="K117" i="1" s="1"/>
  <c r="C116" i="1"/>
  <c r="E116" i="1" s="1"/>
  <c r="K116" i="1" s="1"/>
  <c r="C115" i="1"/>
  <c r="E115" i="1" s="1"/>
  <c r="K115" i="1" s="1"/>
  <c r="C114" i="1"/>
  <c r="E114" i="1" s="1"/>
  <c r="K114" i="1" s="1"/>
  <c r="C113" i="1"/>
  <c r="E113" i="1" s="1"/>
  <c r="K113" i="1" s="1"/>
  <c r="C112" i="1"/>
  <c r="E112" i="1" s="1"/>
  <c r="K112" i="1" s="1"/>
  <c r="C111" i="1"/>
  <c r="E111" i="1" s="1"/>
  <c r="K111" i="1" s="1"/>
  <c r="C110" i="1"/>
  <c r="E110" i="1" s="1"/>
  <c r="K110" i="1" s="1"/>
  <c r="C109" i="1"/>
  <c r="E109" i="1" s="1"/>
  <c r="K109" i="1" s="1"/>
  <c r="C108" i="1"/>
  <c r="E108" i="1" s="1"/>
  <c r="K108" i="1" s="1"/>
  <c r="C107" i="1"/>
  <c r="E107" i="1" s="1"/>
  <c r="K107" i="1" s="1"/>
  <c r="C106" i="1"/>
  <c r="E106" i="1" s="1"/>
  <c r="K106" i="1" s="1"/>
  <c r="C105" i="1"/>
  <c r="E105" i="1" s="1"/>
  <c r="K105" i="1" s="1"/>
  <c r="C104" i="1"/>
  <c r="E104" i="1" s="1"/>
  <c r="K104" i="1" s="1"/>
  <c r="C103" i="1"/>
  <c r="E103" i="1" s="1"/>
  <c r="K103" i="1" s="1"/>
  <c r="C102" i="1"/>
  <c r="E102" i="1" s="1"/>
  <c r="K102" i="1" s="1"/>
  <c r="C101" i="1"/>
  <c r="E101" i="1" s="1"/>
  <c r="K101" i="1" s="1"/>
  <c r="C100" i="1"/>
  <c r="E100" i="1" s="1"/>
  <c r="K100" i="1" s="1"/>
  <c r="C99" i="1"/>
  <c r="E99" i="1" s="1"/>
  <c r="K99" i="1" s="1"/>
  <c r="C98" i="1"/>
  <c r="E98" i="1" s="1"/>
  <c r="K98" i="1" s="1"/>
  <c r="C97" i="1"/>
  <c r="E97" i="1" s="1"/>
  <c r="K97" i="1" s="1"/>
  <c r="C96" i="1"/>
  <c r="E96" i="1" s="1"/>
  <c r="K96" i="1" s="1"/>
  <c r="C95" i="1"/>
  <c r="E95" i="1" s="1"/>
  <c r="K95" i="1" s="1"/>
  <c r="C94" i="1"/>
  <c r="E94" i="1" s="1"/>
  <c r="K94" i="1" s="1"/>
  <c r="C93" i="1"/>
  <c r="E93" i="1" s="1"/>
  <c r="K93" i="1" s="1"/>
  <c r="C92" i="1"/>
  <c r="E92" i="1" s="1"/>
  <c r="K92" i="1" s="1"/>
  <c r="C91" i="1"/>
  <c r="E91" i="1" s="1"/>
  <c r="K91" i="1" s="1"/>
  <c r="C90" i="1"/>
  <c r="E90" i="1" s="1"/>
  <c r="K90" i="1" s="1"/>
  <c r="C89" i="1"/>
  <c r="E89" i="1" s="1"/>
  <c r="K89" i="1" s="1"/>
  <c r="C88" i="1"/>
  <c r="E88" i="1" s="1"/>
  <c r="K88" i="1" s="1"/>
  <c r="C87" i="1"/>
  <c r="E87" i="1" s="1"/>
  <c r="K87" i="1" s="1"/>
  <c r="C86" i="1"/>
  <c r="E86" i="1" s="1"/>
  <c r="K86" i="1" s="1"/>
  <c r="C85" i="1"/>
  <c r="E85" i="1" s="1"/>
  <c r="K85" i="1" s="1"/>
  <c r="C84" i="1"/>
  <c r="E84" i="1" s="1"/>
  <c r="K84" i="1" s="1"/>
  <c r="C83" i="1"/>
  <c r="E83" i="1" s="1"/>
  <c r="K83" i="1" s="1"/>
  <c r="C82" i="1"/>
  <c r="E82" i="1" s="1"/>
  <c r="K82" i="1" s="1"/>
  <c r="C81" i="1"/>
  <c r="E81" i="1" s="1"/>
  <c r="K81" i="1" s="1"/>
  <c r="C80" i="1"/>
  <c r="E80" i="1" s="1"/>
  <c r="K80" i="1" s="1"/>
  <c r="C79" i="1"/>
  <c r="E79" i="1" s="1"/>
  <c r="K79" i="1" s="1"/>
  <c r="C78" i="1"/>
  <c r="E78" i="1" s="1"/>
  <c r="K78" i="1" s="1"/>
  <c r="C77" i="1"/>
  <c r="E77" i="1" s="1"/>
  <c r="K77" i="1" s="1"/>
  <c r="C76" i="1"/>
  <c r="E76" i="1" s="1"/>
  <c r="K76" i="1" s="1"/>
  <c r="C75" i="1"/>
  <c r="E75" i="1" s="1"/>
  <c r="K75" i="1" s="1"/>
  <c r="C74" i="1"/>
  <c r="E74" i="1" s="1"/>
  <c r="K74" i="1" s="1"/>
  <c r="C73" i="1"/>
  <c r="E73" i="1" s="1"/>
  <c r="K73" i="1" s="1"/>
  <c r="C72" i="1"/>
  <c r="E72" i="1" s="1"/>
  <c r="K72" i="1" s="1"/>
  <c r="C71" i="1"/>
  <c r="E71" i="1" s="1"/>
  <c r="K71" i="1" s="1"/>
  <c r="C70" i="1"/>
  <c r="E70" i="1" s="1"/>
  <c r="K70" i="1" s="1"/>
  <c r="C69" i="1"/>
  <c r="E69" i="1" s="1"/>
  <c r="K69" i="1" s="1"/>
  <c r="C68" i="1"/>
  <c r="E68" i="1" s="1"/>
  <c r="K68" i="1" s="1"/>
  <c r="C67" i="1"/>
  <c r="E67" i="1" s="1"/>
  <c r="K67" i="1" s="1"/>
  <c r="C66" i="1"/>
  <c r="E66" i="1" s="1"/>
  <c r="K66" i="1" s="1"/>
  <c r="C65" i="1"/>
  <c r="E65" i="1" s="1"/>
  <c r="K65" i="1" s="1"/>
  <c r="C64" i="1"/>
  <c r="E64" i="1" s="1"/>
  <c r="K64" i="1" s="1"/>
  <c r="C63" i="1"/>
  <c r="E63" i="1" s="1"/>
  <c r="K63" i="1" s="1"/>
  <c r="C62" i="1"/>
  <c r="E62" i="1" s="1"/>
  <c r="K62" i="1" s="1"/>
  <c r="C61" i="1"/>
  <c r="E61" i="1" s="1"/>
  <c r="K61" i="1" s="1"/>
  <c r="C60" i="1"/>
  <c r="E60" i="1" s="1"/>
  <c r="K60" i="1" s="1"/>
  <c r="C59" i="1"/>
  <c r="E59" i="1" s="1"/>
  <c r="K59" i="1" s="1"/>
  <c r="C58" i="1"/>
  <c r="E58" i="1" s="1"/>
  <c r="K58" i="1" s="1"/>
  <c r="C57" i="1"/>
  <c r="E57" i="1" s="1"/>
  <c r="K57" i="1" s="1"/>
  <c r="C56" i="1"/>
  <c r="E56" i="1" s="1"/>
  <c r="K56" i="1" s="1"/>
  <c r="C55" i="1"/>
  <c r="E55" i="1" s="1"/>
  <c r="K55" i="1" s="1"/>
  <c r="C54" i="1"/>
  <c r="E54" i="1" s="1"/>
  <c r="K54" i="1" s="1"/>
  <c r="C53" i="1"/>
  <c r="E53" i="1" s="1"/>
  <c r="K53" i="1" s="1"/>
  <c r="C52" i="1"/>
  <c r="E52" i="1" s="1"/>
  <c r="K52" i="1" s="1"/>
  <c r="C51" i="1"/>
  <c r="E51" i="1" s="1"/>
  <c r="K51" i="1" s="1"/>
  <c r="C50" i="1"/>
  <c r="E50" i="1" s="1"/>
  <c r="K50" i="1" s="1"/>
  <c r="C49" i="1"/>
  <c r="E49" i="1" s="1"/>
  <c r="K49" i="1" s="1"/>
  <c r="C48" i="1"/>
  <c r="E48" i="1" s="1"/>
  <c r="K48" i="1" s="1"/>
  <c r="C47" i="1"/>
  <c r="E47" i="1" s="1"/>
  <c r="K47" i="1" s="1"/>
  <c r="C46" i="1"/>
  <c r="E46" i="1" s="1"/>
  <c r="K46" i="1" s="1"/>
  <c r="C45" i="1"/>
  <c r="E45" i="1" s="1"/>
  <c r="K45" i="1" s="1"/>
  <c r="C44" i="1"/>
  <c r="E44" i="1" s="1"/>
  <c r="K44" i="1" s="1"/>
  <c r="C43" i="1"/>
  <c r="E43" i="1" s="1"/>
  <c r="K43" i="1" s="1"/>
  <c r="C42" i="1"/>
  <c r="E42" i="1" s="1"/>
  <c r="K42" i="1" s="1"/>
  <c r="C41" i="1"/>
  <c r="E41" i="1" s="1"/>
  <c r="K41" i="1" s="1"/>
  <c r="C40" i="1"/>
  <c r="E40" i="1" s="1"/>
  <c r="K40" i="1" s="1"/>
  <c r="C39" i="1"/>
  <c r="E39" i="1" s="1"/>
  <c r="K39" i="1" s="1"/>
  <c r="C38" i="1"/>
  <c r="E38" i="1" s="1"/>
  <c r="K38" i="1" s="1"/>
  <c r="C37" i="1"/>
  <c r="E37" i="1" s="1"/>
  <c r="K37" i="1" s="1"/>
  <c r="C36" i="1"/>
  <c r="E36" i="1" s="1"/>
  <c r="K36" i="1" s="1"/>
  <c r="C35" i="1"/>
  <c r="E35" i="1" s="1"/>
  <c r="K35" i="1" s="1"/>
  <c r="C34" i="1"/>
  <c r="E34" i="1" s="1"/>
  <c r="K34" i="1" s="1"/>
  <c r="C33" i="1"/>
  <c r="E33" i="1" s="1"/>
  <c r="K33" i="1" s="1"/>
  <c r="C32" i="1"/>
  <c r="E32" i="1" s="1"/>
  <c r="K32" i="1" s="1"/>
  <c r="C31" i="1"/>
  <c r="E31" i="1" s="1"/>
  <c r="K31" i="1" s="1"/>
  <c r="C30" i="1"/>
  <c r="E30" i="1" s="1"/>
  <c r="K30" i="1" s="1"/>
  <c r="C29" i="1"/>
  <c r="E29" i="1" s="1"/>
  <c r="K29" i="1" s="1"/>
  <c r="C28" i="1"/>
  <c r="E28" i="1" s="1"/>
  <c r="K28" i="1" s="1"/>
  <c r="C27" i="1"/>
  <c r="E27" i="1" s="1"/>
  <c r="K27" i="1" s="1"/>
  <c r="C26" i="1"/>
  <c r="C25" i="1"/>
  <c r="E25" i="1" s="1"/>
  <c r="K25" i="1" s="1"/>
  <c r="C24" i="1"/>
  <c r="E24" i="1" s="1"/>
  <c r="K24" i="1" s="1"/>
  <c r="C23" i="1"/>
  <c r="E23" i="1" s="1"/>
  <c r="C22" i="1"/>
  <c r="E22" i="1" s="1"/>
  <c r="Q18" i="1"/>
  <c r="Q14" i="1"/>
  <c r="H18" i="1"/>
  <c r="H14" i="1"/>
  <c r="O17" i="1"/>
  <c r="N18" i="1"/>
  <c r="M18" i="1"/>
  <c r="M14" i="1"/>
  <c r="D18" i="1"/>
  <c r="D14" i="1"/>
  <c r="K18" i="1"/>
  <c r="G18" i="1"/>
  <c r="I18" i="1"/>
  <c r="I14" i="1"/>
  <c r="P17" i="1"/>
  <c r="F18" i="1"/>
  <c r="G17" i="1"/>
  <c r="F17" i="1"/>
  <c r="E18" i="1"/>
  <c r="E14" i="1"/>
  <c r="L17" i="1"/>
  <c r="J15" i="1"/>
  <c r="Q17" i="1"/>
  <c r="N17" i="1"/>
  <c r="H17" i="1"/>
  <c r="F15" i="1"/>
  <c r="O16" i="1"/>
  <c r="N16" i="1"/>
  <c r="M17" i="1"/>
  <c r="C18" i="1"/>
  <c r="D17" i="1"/>
  <c r="K17" i="1"/>
  <c r="I15" i="1"/>
  <c r="G14" i="1"/>
  <c r="L14" i="1"/>
  <c r="I17" i="1"/>
  <c r="F16" i="1"/>
  <c r="P16" i="1"/>
  <c r="C15" i="1"/>
  <c r="G16" i="1"/>
  <c r="N15" i="1"/>
  <c r="E17" i="1"/>
  <c r="C17" i="1"/>
  <c r="L16" i="1"/>
  <c r="K16" i="1"/>
  <c r="P14" i="1"/>
  <c r="C14" i="1"/>
  <c r="Q16" i="1"/>
  <c r="F14" i="1"/>
  <c r="H16" i="1"/>
  <c r="R17" i="1"/>
  <c r="O15" i="1"/>
  <c r="N14" i="1"/>
  <c r="M16" i="1"/>
  <c r="C16" i="1"/>
  <c r="D16" i="1"/>
  <c r="K15" i="1"/>
  <c r="R16" i="1"/>
  <c r="P18" i="1"/>
  <c r="E15" i="1"/>
  <c r="I16" i="1"/>
  <c r="R18" i="1"/>
  <c r="P15" i="1"/>
  <c r="R15" i="1"/>
  <c r="G15" i="1"/>
  <c r="K14" i="1"/>
  <c r="E16" i="1"/>
  <c r="J17" i="1"/>
  <c r="L15" i="1"/>
  <c r="Q15" i="1"/>
  <c r="J16" i="1"/>
  <c r="H15" i="1"/>
  <c r="O18" i="1"/>
  <c r="O14" i="1"/>
  <c r="J18" i="1"/>
  <c r="M15" i="1"/>
  <c r="J14" i="1"/>
  <c r="D15" i="1"/>
  <c r="R14" i="1"/>
  <c r="L18" i="1"/>
  <c r="E109" i="5" l="1"/>
  <c r="K109" i="5" s="1"/>
  <c r="E125" i="5"/>
  <c r="K125" i="5" s="1"/>
  <c r="E141" i="5"/>
  <c r="K141" i="5" s="1"/>
  <c r="E157" i="5"/>
  <c r="K157" i="5" s="1"/>
  <c r="E173" i="5"/>
  <c r="K173" i="5" s="1"/>
  <c r="E119" i="5"/>
  <c r="K119" i="5" s="1"/>
  <c r="E135" i="5"/>
  <c r="K135" i="5" s="1"/>
  <c r="E151" i="5"/>
  <c r="K151" i="5" s="1"/>
  <c r="E167" i="5"/>
  <c r="K167" i="5" s="1"/>
  <c r="E123" i="5"/>
  <c r="K123" i="5" s="1"/>
  <c r="E139" i="5"/>
  <c r="K139" i="5" s="1"/>
  <c r="E155" i="5"/>
  <c r="K155" i="5" s="1"/>
  <c r="E171" i="5"/>
  <c r="K171" i="5" s="1"/>
  <c r="E111" i="5"/>
  <c r="K111" i="5" s="1"/>
  <c r="E127" i="5"/>
  <c r="K127" i="5" s="1"/>
  <c r="E143" i="5"/>
  <c r="K143" i="5" s="1"/>
  <c r="E159" i="5"/>
  <c r="K159" i="5" s="1"/>
  <c r="E175" i="5"/>
  <c r="K175" i="5" s="1"/>
  <c r="E114" i="4"/>
  <c r="K114" i="4" s="1"/>
  <c r="E118" i="4"/>
  <c r="K118" i="4" s="1"/>
  <c r="E122" i="4"/>
  <c r="K122" i="4" s="1"/>
  <c r="E126" i="4"/>
  <c r="K126" i="4" s="1"/>
  <c r="E130" i="4"/>
  <c r="K130" i="4" s="1"/>
  <c r="E134" i="4"/>
  <c r="K134" i="4" s="1"/>
  <c r="E138" i="4"/>
  <c r="K138" i="4" s="1"/>
  <c r="E142" i="4"/>
  <c r="K142" i="4" s="1"/>
  <c r="E146" i="4"/>
  <c r="K146" i="4" s="1"/>
  <c r="E150" i="4"/>
  <c r="K150" i="4" s="1"/>
  <c r="E154" i="4"/>
  <c r="K154" i="4" s="1"/>
  <c r="E158" i="4"/>
  <c r="K158" i="4" s="1"/>
  <c r="E162" i="4"/>
  <c r="K162" i="4" s="1"/>
  <c r="E166" i="4"/>
  <c r="K166" i="4" s="1"/>
  <c r="E170" i="4"/>
  <c r="K170" i="4" s="1"/>
  <c r="E174" i="4"/>
  <c r="K174" i="4" s="1"/>
  <c r="E178" i="4"/>
  <c r="K178" i="4" s="1"/>
  <c r="E182" i="4"/>
  <c r="K182" i="4" s="1"/>
  <c r="E186" i="4"/>
  <c r="K186" i="4" s="1"/>
  <c r="E190" i="4"/>
  <c r="K190" i="4" s="1"/>
  <c r="E194" i="4"/>
  <c r="K194" i="4" s="1"/>
  <c r="E198" i="4"/>
  <c r="K198" i="4" s="1"/>
  <c r="E202" i="4"/>
  <c r="K202" i="4" s="1"/>
  <c r="E206" i="4"/>
  <c r="K206" i="4" s="1"/>
  <c r="E210" i="4"/>
  <c r="K210" i="4" s="1"/>
  <c r="E214" i="4"/>
  <c r="K214" i="4" s="1"/>
  <c r="E218" i="4"/>
  <c r="K218" i="4" s="1"/>
  <c r="E113" i="4"/>
  <c r="K113" i="4" s="1"/>
  <c r="E111" i="4"/>
  <c r="K111" i="4" s="1"/>
  <c r="E205" i="3"/>
  <c r="AA14" i="3"/>
  <c r="E221" i="3"/>
  <c r="AA15" i="3"/>
  <c r="E237" i="3"/>
  <c r="AA16" i="3"/>
  <c r="E253" i="3"/>
  <c r="AA17" i="3"/>
  <c r="E277" i="3"/>
  <c r="AI18" i="3"/>
  <c r="E206" i="3"/>
  <c r="AB14" i="3"/>
  <c r="E222" i="3"/>
  <c r="AB15" i="3"/>
  <c r="E229" i="3"/>
  <c r="AI15" i="3"/>
  <c r="E254" i="3"/>
  <c r="AB17" i="3"/>
  <c r="E261" i="3"/>
  <c r="AI17" i="3"/>
  <c r="E238" i="3"/>
  <c r="AB16" i="3"/>
  <c r="E213" i="3"/>
  <c r="AI14" i="3"/>
  <c r="E245" i="3"/>
  <c r="AI16" i="3"/>
  <c r="E198" i="3"/>
  <c r="T14" i="3"/>
  <c r="E214" i="3"/>
  <c r="T15" i="3"/>
  <c r="E230" i="3"/>
  <c r="T16" i="3"/>
  <c r="E246" i="3"/>
  <c r="T17" i="3"/>
  <c r="E269" i="3"/>
  <c r="AA18" i="3"/>
  <c r="E199" i="3"/>
  <c r="U14" i="3"/>
  <c r="E207" i="3"/>
  <c r="AC14" i="3"/>
  <c r="E215" i="3"/>
  <c r="U15" i="3"/>
  <c r="E223" i="3"/>
  <c r="AC15" i="3"/>
  <c r="E231" i="3"/>
  <c r="U16" i="3"/>
  <c r="E239" i="3"/>
  <c r="AC16" i="3"/>
  <c r="E247" i="3"/>
  <c r="U17" i="3"/>
  <c r="E255" i="3"/>
  <c r="AC17" i="3"/>
  <c r="E263" i="3"/>
  <c r="U18" i="3"/>
  <c r="E271" i="3"/>
  <c r="AC18" i="3"/>
  <c r="E262" i="3"/>
  <c r="T18" i="3"/>
  <c r="E270" i="3"/>
  <c r="AB18" i="3"/>
  <c r="E200" i="3"/>
  <c r="V14" i="3"/>
  <c r="E208" i="3"/>
  <c r="AD14" i="3"/>
  <c r="E216" i="3"/>
  <c r="V15" i="3"/>
  <c r="E224" i="3"/>
  <c r="AD15" i="3"/>
  <c r="E232" i="3"/>
  <c r="V16" i="3"/>
  <c r="E240" i="3"/>
  <c r="AD16" i="3"/>
  <c r="E248" i="3"/>
  <c r="V17" i="3"/>
  <c r="E256" i="3"/>
  <c r="AD17" i="3"/>
  <c r="E264" i="3"/>
  <c r="V18" i="3"/>
  <c r="E272" i="3"/>
  <c r="AD18" i="3"/>
  <c r="X14" i="3"/>
  <c r="E202" i="3"/>
  <c r="AF14" i="3"/>
  <c r="E210" i="3"/>
  <c r="X15" i="3"/>
  <c r="E218" i="3"/>
  <c r="AF15" i="3"/>
  <c r="E226" i="3"/>
  <c r="X16" i="3"/>
  <c r="E234" i="3"/>
  <c r="AF16" i="3"/>
  <c r="E242" i="3"/>
  <c r="X17" i="3"/>
  <c r="E250" i="3"/>
  <c r="AF17" i="3"/>
  <c r="E258" i="3"/>
  <c r="X18" i="3"/>
  <c r="E266" i="3"/>
  <c r="AF18" i="3"/>
  <c r="E274" i="3"/>
  <c r="E201" i="3"/>
  <c r="W14" i="3"/>
  <c r="E217" i="3"/>
  <c r="W15" i="3"/>
  <c r="E233" i="3"/>
  <c r="W16" i="3"/>
  <c r="E249" i="3"/>
  <c r="W17" i="3"/>
  <c r="E265" i="3"/>
  <c r="W18" i="3"/>
  <c r="Y14" i="3"/>
  <c r="E203" i="3"/>
  <c r="AG14" i="3"/>
  <c r="E211" i="3"/>
  <c r="Y15" i="3"/>
  <c r="E219" i="3"/>
  <c r="AG15" i="3"/>
  <c r="E227" i="3"/>
  <c r="Y16" i="3"/>
  <c r="E235" i="3"/>
  <c r="AG16" i="3"/>
  <c r="E243" i="3"/>
  <c r="Y17" i="3"/>
  <c r="E251" i="3"/>
  <c r="AG17" i="3"/>
  <c r="E259" i="3"/>
  <c r="Y18" i="3"/>
  <c r="E267" i="3"/>
  <c r="AG18" i="3"/>
  <c r="E275" i="3"/>
  <c r="E209" i="3"/>
  <c r="AE14" i="3"/>
  <c r="E225" i="3"/>
  <c r="AE15" i="3"/>
  <c r="E241" i="3"/>
  <c r="AE16" i="3"/>
  <c r="E257" i="3"/>
  <c r="AE17" i="3"/>
  <c r="E273" i="3"/>
  <c r="AE18" i="3"/>
  <c r="E204" i="3"/>
  <c r="Z14" i="3"/>
  <c r="E212" i="3"/>
  <c r="AH14" i="3"/>
  <c r="E220" i="3"/>
  <c r="Z15" i="3"/>
  <c r="E228" i="3"/>
  <c r="AH15" i="3"/>
  <c r="E236" i="3"/>
  <c r="Z16" i="3"/>
  <c r="E244" i="3"/>
  <c r="AH16" i="3"/>
  <c r="E252" i="3"/>
  <c r="Z17" i="3"/>
  <c r="E260" i="3"/>
  <c r="AH17" i="3"/>
  <c r="E268" i="3"/>
  <c r="Z18" i="3"/>
  <c r="E276" i="3"/>
  <c r="AH18" i="3"/>
  <c r="E106" i="3"/>
  <c r="E238" i="1"/>
  <c r="K238" i="1" s="1"/>
  <c r="E207" i="1"/>
  <c r="K207" i="1" s="1"/>
  <c r="E223" i="1"/>
  <c r="K223" i="1" s="1"/>
  <c r="E239" i="1"/>
  <c r="K239" i="1" s="1"/>
  <c r="E263" i="1"/>
  <c r="K263" i="1" s="1"/>
  <c r="E200" i="1"/>
  <c r="K200" i="1" s="1"/>
  <c r="E216" i="1"/>
  <c r="K216" i="1" s="1"/>
  <c r="E232" i="1"/>
  <c r="K232" i="1" s="1"/>
  <c r="E240" i="1"/>
  <c r="K240" i="1" s="1"/>
  <c r="E256" i="1"/>
  <c r="K256" i="1" s="1"/>
  <c r="E264" i="1"/>
  <c r="K264" i="1" s="1"/>
  <c r="E272" i="1"/>
  <c r="K272" i="1" s="1"/>
  <c r="E214" i="1"/>
  <c r="K214" i="1" s="1"/>
  <c r="E246" i="1"/>
  <c r="K246" i="1" s="1"/>
  <c r="E199" i="1"/>
  <c r="K199" i="1" s="1"/>
  <c r="E215" i="1"/>
  <c r="K215" i="1" s="1"/>
  <c r="E231" i="1"/>
  <c r="K231" i="1" s="1"/>
  <c r="E247" i="1"/>
  <c r="K247" i="1" s="1"/>
  <c r="E255" i="1"/>
  <c r="K255" i="1" s="1"/>
  <c r="E271" i="1"/>
  <c r="K271" i="1" s="1"/>
  <c r="E208" i="1"/>
  <c r="K208" i="1" s="1"/>
  <c r="E224" i="1"/>
  <c r="K224" i="1" s="1"/>
  <c r="E248" i="1"/>
  <c r="K248" i="1" s="1"/>
  <c r="E201" i="1"/>
  <c r="K201" i="1" s="1"/>
  <c r="E209" i="1"/>
  <c r="K209" i="1" s="1"/>
  <c r="E217" i="1"/>
  <c r="K217" i="1" s="1"/>
  <c r="E225" i="1"/>
  <c r="K225" i="1" s="1"/>
  <c r="E233" i="1"/>
  <c r="K233" i="1" s="1"/>
  <c r="E241" i="1"/>
  <c r="K241" i="1" s="1"/>
  <c r="E249" i="1"/>
  <c r="K249" i="1" s="1"/>
  <c r="E257" i="1"/>
  <c r="K257" i="1" s="1"/>
  <c r="E265" i="1"/>
  <c r="K265" i="1" s="1"/>
  <c r="E273" i="1"/>
  <c r="K273" i="1" s="1"/>
  <c r="E206" i="1"/>
  <c r="K206" i="1" s="1"/>
  <c r="E254" i="1"/>
  <c r="K254" i="1" s="1"/>
  <c r="E218" i="1"/>
  <c r="K218" i="1" s="1"/>
  <c r="E258" i="1"/>
  <c r="K258" i="1" s="1"/>
  <c r="E275" i="1"/>
  <c r="K275" i="1" s="1"/>
  <c r="E230" i="1"/>
  <c r="K230" i="1" s="1"/>
  <c r="E270" i="1"/>
  <c r="K270" i="1" s="1"/>
  <c r="E202" i="1"/>
  <c r="K202" i="1" s="1"/>
  <c r="E226" i="1"/>
  <c r="K226" i="1" s="1"/>
  <c r="E250" i="1"/>
  <c r="K250" i="1" s="1"/>
  <c r="E274" i="1"/>
  <c r="K274" i="1" s="1"/>
  <c r="E203" i="1"/>
  <c r="K203" i="1" s="1"/>
  <c r="E219" i="1"/>
  <c r="K219" i="1" s="1"/>
  <c r="E235" i="1"/>
  <c r="K235" i="1" s="1"/>
  <c r="E243" i="1"/>
  <c r="K243" i="1" s="1"/>
  <c r="E251" i="1"/>
  <c r="K251" i="1" s="1"/>
  <c r="E267" i="1"/>
  <c r="K267" i="1" s="1"/>
  <c r="E204" i="1"/>
  <c r="K204" i="1" s="1"/>
  <c r="E212" i="1"/>
  <c r="K212" i="1" s="1"/>
  <c r="E220" i="1"/>
  <c r="K220" i="1" s="1"/>
  <c r="E228" i="1"/>
  <c r="K228" i="1" s="1"/>
  <c r="E236" i="1"/>
  <c r="K236" i="1" s="1"/>
  <c r="E244" i="1"/>
  <c r="K244" i="1" s="1"/>
  <c r="E252" i="1"/>
  <c r="K252" i="1" s="1"/>
  <c r="E260" i="1"/>
  <c r="K260" i="1" s="1"/>
  <c r="E268" i="1"/>
  <c r="K268" i="1" s="1"/>
  <c r="E276" i="1"/>
  <c r="K276" i="1" s="1"/>
  <c r="E198" i="1"/>
  <c r="K198" i="1" s="1"/>
  <c r="E222" i="1"/>
  <c r="K222" i="1" s="1"/>
  <c r="E262" i="1"/>
  <c r="K262" i="1" s="1"/>
  <c r="E210" i="1"/>
  <c r="K210" i="1" s="1"/>
  <c r="E234" i="1"/>
  <c r="K234" i="1" s="1"/>
  <c r="E242" i="1"/>
  <c r="K242" i="1" s="1"/>
  <c r="E266" i="1"/>
  <c r="K266" i="1" s="1"/>
  <c r="E211" i="1"/>
  <c r="K211" i="1" s="1"/>
  <c r="E227" i="1"/>
  <c r="K227" i="1" s="1"/>
  <c r="E259" i="1"/>
  <c r="K259" i="1" s="1"/>
  <c r="E205" i="1"/>
  <c r="K205" i="1" s="1"/>
  <c r="E213" i="1"/>
  <c r="K213" i="1" s="1"/>
  <c r="E221" i="1"/>
  <c r="K221" i="1" s="1"/>
  <c r="E229" i="1"/>
  <c r="K229" i="1" s="1"/>
  <c r="E237" i="1"/>
  <c r="K237" i="1" s="1"/>
  <c r="E245" i="1"/>
  <c r="K245" i="1" s="1"/>
  <c r="E253" i="1"/>
  <c r="K253" i="1" s="1"/>
  <c r="E261" i="1"/>
  <c r="K261" i="1" s="1"/>
  <c r="E269" i="1"/>
  <c r="K269" i="1" s="1"/>
  <c r="E277" i="1"/>
  <c r="K277" i="1" s="1"/>
</calcChain>
</file>

<file path=xl/sharedStrings.xml><?xml version="1.0" encoding="utf-8"?>
<sst xmlns="http://schemas.openxmlformats.org/spreadsheetml/2006/main" count="257" uniqueCount="191">
  <si>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</si>
  <si>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</si>
  <si>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</si>
  <si>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</si>
  <si>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</si>
  <si>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</si>
  <si>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</si>
  <si>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</si>
  <si>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</si>
  <si>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</si>
  <si>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</si>
  <si>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</si>
  <si>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</si>
  <si>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</si>
  <si>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</si>
  <si>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</si>
  <si>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</si>
  <si>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</si>
  <si>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</si>
  <si>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</si>
  <si>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</si>
  <si>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</si>
  <si>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ち</t>
    <phoneticPr fontId="1"/>
  </si>
  <si>
    <t>つ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</si>
  <si>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</si>
  <si>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</si>
  <si>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</si>
  <si>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</si>
  <si>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</si>
  <si>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</si>
  <si>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</si>
  <si>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</si>
  <si>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</si>
  <si>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</si>
  <si>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</si>
  <si>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</si>
  <si>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ま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</si>
  <si>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</si>
  <si>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</si>
  <si>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</si>
  <si>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</si>
  <si>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や</t>
    <phoneticPr fontId="1"/>
  </si>
  <si>
    <t>ゆ</t>
    <phoneticPr fontId="1"/>
  </si>
  <si>
    <t>よ</t>
    <phoneticPr fontId="1"/>
  </si>
  <si>
    <t>ら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</si>
  <si>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</si>
  <si>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</si>
  <si>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</si>
  <si>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</si>
  <si>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わ</t>
    <phoneticPr fontId="1"/>
  </si>
  <si>
    <t>を</t>
    <phoneticPr fontId="1"/>
  </si>
  <si>
    <t>ん</t>
    <phoneticPr fontId="1"/>
  </si>
  <si>
    <t>が</t>
    <phoneticPr fontId="1"/>
  </si>
  <si>
    <t>ぎ</t>
    <phoneticPr fontId="1"/>
  </si>
  <si>
    <t>ぐ</t>
    <phoneticPr fontId="1"/>
  </si>
  <si>
    <t>げ</t>
    <phoneticPr fontId="1"/>
  </si>
  <si>
    <t>ご</t>
    <phoneticPr fontId="1"/>
  </si>
  <si>
    <t>ざ</t>
    <phoneticPr fontId="1"/>
  </si>
  <si>
    <t>じ</t>
    <phoneticPr fontId="1"/>
  </si>
  <si>
    <t>ず</t>
    <phoneticPr fontId="1"/>
  </si>
  <si>
    <t>ぜ</t>
    <phoneticPr fontId="1"/>
  </si>
  <si>
    <t>ぞ</t>
    <phoneticPr fontId="1"/>
  </si>
  <si>
    <t>だ</t>
    <phoneticPr fontId="1"/>
  </si>
  <si>
    <t>ぢ</t>
    <phoneticPr fontId="1"/>
  </si>
  <si>
    <t>づ</t>
    <phoneticPr fontId="1"/>
  </si>
  <si>
    <t>で</t>
    <phoneticPr fontId="1"/>
  </si>
  <si>
    <t>ど</t>
    <phoneticPr fontId="1"/>
  </si>
  <si>
    <t>ば</t>
    <phoneticPr fontId="1"/>
  </si>
  <si>
    <t>び</t>
    <phoneticPr fontId="1"/>
  </si>
  <si>
    <t>ぶ</t>
    <phoneticPr fontId="1"/>
  </si>
  <si>
    <t>べ</t>
    <phoneticPr fontId="1"/>
  </si>
  <si>
    <t>ぼ</t>
    <phoneticPr fontId="1"/>
  </si>
  <si>
    <t>ぱ</t>
    <phoneticPr fontId="1"/>
  </si>
  <si>
    <t>ぴ</t>
    <phoneticPr fontId="1"/>
  </si>
  <si>
    <t>ぷ</t>
    <phoneticPr fontId="1"/>
  </si>
  <si>
    <t>ぺ</t>
    <phoneticPr fontId="1"/>
  </si>
  <si>
    <t>ぽ</t>
    <phoneticPr fontId="1"/>
  </si>
  <si>
    <t>ぁ</t>
    <phoneticPr fontId="1"/>
  </si>
  <si>
    <t>ぃ</t>
    <phoneticPr fontId="1"/>
  </si>
  <si>
    <t>ぅ</t>
    <phoneticPr fontId="1"/>
  </si>
  <si>
    <t>ぇ</t>
    <phoneticPr fontId="1"/>
  </si>
  <si>
    <t>ぉ</t>
    <phoneticPr fontId="1"/>
  </si>
  <si>
    <t>っ</t>
    <phoneticPr fontId="1"/>
  </si>
  <si>
    <t>ゃ</t>
    <phoneticPr fontId="1"/>
  </si>
  <si>
    <t>ゅ</t>
    <phoneticPr fontId="1"/>
  </si>
  <si>
    <t>ょ</t>
    <phoneticPr fontId="1"/>
  </si>
  <si>
    <t>。</t>
    <phoneticPr fontId="1"/>
  </si>
  <si>
    <t>、</t>
    <phoneticPr fontId="1"/>
  </si>
  <si>
    <t>「</t>
    <phoneticPr fontId="1"/>
  </si>
  <si>
    <t>」</t>
    <phoneticPr fontId="1"/>
  </si>
  <si>
    <t>※</t>
    <phoneticPr fontId="1"/>
  </si>
  <si>
    <t>ー</t>
    <phoneticPr fontId="1"/>
  </si>
  <si>
    <t>－</t>
    <phoneticPr fontId="1"/>
  </si>
  <si>
    <t>，</t>
    <phoneticPr fontId="1"/>
  </si>
  <si>
    <t>．</t>
    <phoneticPr fontId="1"/>
  </si>
  <si>
    <t>・</t>
    <phoneticPr fontId="1"/>
  </si>
  <si>
    <t>’</t>
    <phoneticPr fontId="1"/>
  </si>
  <si>
    <t>ヴ</t>
    <phoneticPr fontId="1"/>
  </si>
  <si>
    <t>code</t>
    <phoneticPr fontId="1"/>
  </si>
  <si>
    <t>上位</t>
    <rPh sb="0" eb="2">
      <t>ジョウイ</t>
    </rPh>
    <phoneticPr fontId="1"/>
  </si>
  <si>
    <t>下位</t>
    <rPh sb="0" eb="2">
      <t>カイ</t>
    </rPh>
    <phoneticPr fontId="1"/>
  </si>
  <si>
    <t>！</t>
    <phoneticPr fontId="1"/>
  </si>
  <si>
    <t>”</t>
    <phoneticPr fontId="1"/>
  </si>
  <si>
    <t>＃</t>
    <phoneticPr fontId="1"/>
  </si>
  <si>
    <t>％</t>
    <phoneticPr fontId="1"/>
  </si>
  <si>
    <t>＆</t>
    <phoneticPr fontId="1"/>
  </si>
  <si>
    <t>（</t>
    <phoneticPr fontId="1"/>
  </si>
  <si>
    <t>）</t>
    <phoneticPr fontId="1"/>
  </si>
  <si>
    <t>＝</t>
    <phoneticPr fontId="1"/>
  </si>
  <si>
    <t>￥</t>
    <phoneticPr fontId="1"/>
  </si>
  <si>
    <t>＋</t>
    <phoneticPr fontId="1"/>
  </si>
  <si>
    <t>＊</t>
    <phoneticPr fontId="1"/>
  </si>
  <si>
    <t>？</t>
    <phoneticPr fontId="1"/>
  </si>
  <si>
    <t>／</t>
    <phoneticPr fontId="1"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</si>
  <si>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</si>
  <si>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</si>
  <si>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</si>
  <si>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</si>
  <si>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</si>
  <si>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</si>
  <si>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</si>
  <si>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</si>
  <si>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</si>
  <si>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</si>
  <si>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</si>
  <si>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</si>
  <si>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</si>
  <si>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</si>
  <si>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</si>
  <si>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</si>
  <si>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</si>
  <si>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</si>
  <si>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</si>
  <si>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</si>
  <si>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</si>
  <si>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</si>
  <si>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</si>
  <si>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</si>
  <si>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</si>
  <si>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</si>
  <si>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</si>
  <si>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</si>
  <si>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</si>
  <si>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</si>
  <si>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</si>
  <si>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</si>
  <si>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</si>
  <si>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</si>
  <si>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</si>
  <si>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</si>
  <si>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</si>
  <si>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</si>
  <si>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</si>
  <si>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</si>
  <si>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</si>
  <si>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</si>
  <si>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</si>
  <si>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</si>
  <si>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</si>
  <si>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</si>
  <si>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</si>
  <si>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</si>
  <si>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</si>
  <si>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</si>
  <si>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</si>
  <si>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</si>
  <si>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［</t>
    <phoneticPr fontId="1"/>
  </si>
  <si>
    <t>］</t>
    <phoneticPr fontId="1"/>
  </si>
  <si>
    <t>｛</t>
    <phoneticPr fontId="1"/>
  </si>
  <si>
    <t>｝</t>
    <phoneticPr fontId="1"/>
  </si>
  <si>
    <t>＜</t>
    <phoneticPr fontId="1"/>
  </si>
  <si>
    <t>＞</t>
    <phoneticPr fontId="1"/>
  </si>
  <si>
    <t>＠</t>
    <phoneticPr fontId="1"/>
  </si>
  <si>
    <t>文字</t>
    <rPh sb="0" eb="2">
      <t>モジ</t>
    </rPh>
    <phoneticPr fontId="1"/>
  </si>
  <si>
    <t>CharToBMChar</t>
    <phoneticPr fontId="1"/>
  </si>
  <si>
    <t>　</t>
    <phoneticPr fontId="1"/>
  </si>
  <si>
    <t>＄</t>
    <phoneticPr fontId="1"/>
  </si>
  <si>
    <t>０</t>
    <phoneticPr fontId="1"/>
  </si>
  <si>
    <t>１</t>
    <phoneticPr fontId="1"/>
  </si>
  <si>
    <t>２</t>
    <phoneticPr fontId="1"/>
  </si>
  <si>
    <t>３</t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</si>
  <si>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</si>
  <si>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</si>
  <si>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</si>
  <si>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</si>
  <si>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</si>
  <si>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</si>
  <si>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</si>
  <si>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</si>
  <si>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BMCharTable</t>
    <phoneticPr fontId="1"/>
  </si>
  <si>
    <t>Page=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</si>
</sst>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277"/>
  <sheetViews>
    <sheetView workbookViewId="0">
      <selection activeCell="R38" sqref="R38"/>
    </sheetView>
  </sheetViews>
  <sheetFormatPr defaultColWidth="5" defaultRowHeight="26.5" customHeight="1"/>
  <sheetData>
    <row r="2" spans="2:35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5"/>
      <c r="T2" s="6" t="s">
        <v>189</v>
      </c>
    </row>
    <row r="3" spans="2:35" ht="26.5" customHeight="1">
      <c r="B3" s="1">
        <v>0</v>
      </c>
      <c r="C3" s="3" t="s">
        <v>175</v>
      </c>
      <c r="D3" s="3" t="s">
        <v>101</v>
      </c>
      <c r="E3" s="3" t="s">
        <v>102</v>
      </c>
      <c r="F3" s="3" t="s">
        <v>103</v>
      </c>
      <c r="G3" s="3" t="s">
        <v>176</v>
      </c>
      <c r="H3" s="3" t="s">
        <v>104</v>
      </c>
      <c r="I3" s="3" t="s">
        <v>105</v>
      </c>
      <c r="J3" s="4" t="s">
        <v>106</v>
      </c>
      <c r="K3" s="3" t="s">
        <v>107</v>
      </c>
      <c r="L3" s="4" t="s">
        <v>108</v>
      </c>
      <c r="M3" s="3" t="s">
        <v>92</v>
      </c>
      <c r="N3" s="3" t="s">
        <v>109</v>
      </c>
      <c r="O3" s="3" t="s">
        <v>110</v>
      </c>
      <c r="P3" s="3" t="s">
        <v>111</v>
      </c>
      <c r="Q3" s="3" t="s">
        <v>112</v>
      </c>
      <c r="R3" s="3" t="s">
        <v>113</v>
      </c>
      <c r="T3" t="str">
        <f>"L'"&amp;C3&amp;"',"</f>
        <v>L'　',</v>
      </c>
      <c r="U3" t="str">
        <f t="shared" ref="U3:U18" si="0">"L'"&amp;D3&amp;"',"</f>
        <v>L'！',</v>
      </c>
      <c r="V3" t="str">
        <f t="shared" ref="V3:V18" si="1">"L'"&amp;E3&amp;"',"</f>
        <v>L'”',</v>
      </c>
      <c r="W3" t="str">
        <f t="shared" ref="W3:W18" si="2">"L'"&amp;F3&amp;"',"</f>
        <v>L'＃',</v>
      </c>
      <c r="X3" t="str">
        <f t="shared" ref="X3:X18" si="3">"L'"&amp;G3&amp;"',"</f>
        <v>L'＄',</v>
      </c>
      <c r="Y3" t="str">
        <f t="shared" ref="Y3:Y18" si="4">"L'"&amp;H3&amp;"',"</f>
        <v>L'％',</v>
      </c>
      <c r="Z3" t="str">
        <f t="shared" ref="Z3:Z18" si="5">"L'"&amp;I3&amp;"',"</f>
        <v>L'＆',</v>
      </c>
      <c r="AA3" t="str">
        <f t="shared" ref="AA3:AA18" si="6">"L'"&amp;J3&amp;"',"</f>
        <v>L'（',</v>
      </c>
      <c r="AB3" t="str">
        <f t="shared" ref="AB3:AB18" si="7">"L'"&amp;K3&amp;"',"</f>
        <v>L'）',</v>
      </c>
      <c r="AC3" t="str">
        <f t="shared" ref="AC3:AC18" si="8">"L'"&amp;L3&amp;"',"</f>
        <v>L'＝',</v>
      </c>
      <c r="AD3" t="str">
        <f t="shared" ref="AD3:AD18" si="9">"L'"&amp;M3&amp;"',"</f>
        <v>L'－',</v>
      </c>
      <c r="AE3" t="str">
        <f t="shared" ref="AE3:AE18" si="10">"L'"&amp;N3&amp;"',"</f>
        <v>L'￥',</v>
      </c>
      <c r="AF3" t="str">
        <f t="shared" ref="AF3:AF18" si="11">"L'"&amp;O3&amp;"',"</f>
        <v>L'＋',</v>
      </c>
      <c r="AG3" t="str">
        <f t="shared" ref="AG3:AG18" si="12">"L'"&amp;P3&amp;"',"</f>
        <v>L'＊',</v>
      </c>
      <c r="AH3" t="str">
        <f t="shared" ref="AH3:AH18" si="13">"L'"&amp;Q3&amp;"',"</f>
        <v>L'？',</v>
      </c>
      <c r="AI3" t="str">
        <f t="shared" ref="AI3:AI18" si="14">"L'"&amp;R3&amp;"',"</f>
        <v>L'／',</v>
      </c>
    </row>
    <row r="4" spans="2:35" ht="26.5" customHeight="1">
      <c r="B4" s="1">
        <v>1</v>
      </c>
      <c r="C4" s="3" t="s">
        <v>177</v>
      </c>
      <c r="D4" s="3" t="s">
        <v>178</v>
      </c>
      <c r="E4" s="3" t="s">
        <v>179</v>
      </c>
      <c r="F4" s="3" t="s">
        <v>180</v>
      </c>
      <c r="G4" s="3" t="s">
        <v>181</v>
      </c>
      <c r="H4" s="3" t="s">
        <v>182</v>
      </c>
      <c r="I4" s="3" t="s">
        <v>183</v>
      </c>
      <c r="J4" s="3" t="s">
        <v>184</v>
      </c>
      <c r="K4" s="3" t="s">
        <v>185</v>
      </c>
      <c r="L4" s="3" t="s">
        <v>186</v>
      </c>
      <c r="M4" s="3" t="s">
        <v>114</v>
      </c>
      <c r="N4" s="3" t="s">
        <v>115</v>
      </c>
      <c r="O4" s="3" t="s">
        <v>116</v>
      </c>
      <c r="P4" s="3" t="s">
        <v>117</v>
      </c>
      <c r="Q4" s="3" t="s">
        <v>118</v>
      </c>
      <c r="R4" s="3" t="s">
        <v>119</v>
      </c>
      <c r="T4" t="str">
        <f t="shared" ref="T4:T18" si="15">"L'"&amp;C4&amp;"',"</f>
        <v>L'０',</v>
      </c>
      <c r="U4" t="str">
        <f t="shared" si="0"/>
        <v>L'１',</v>
      </c>
      <c r="V4" t="str">
        <f t="shared" si="1"/>
        <v>L'２',</v>
      </c>
      <c r="W4" t="str">
        <f t="shared" si="2"/>
        <v>L'３',</v>
      </c>
      <c r="X4" t="str">
        <f t="shared" si="3"/>
        <v>L'４',</v>
      </c>
      <c r="Y4" t="str">
        <f t="shared" si="4"/>
        <v>L'５',</v>
      </c>
      <c r="Z4" t="str">
        <f t="shared" si="5"/>
        <v>L'６',</v>
      </c>
      <c r="AA4" t="str">
        <f t="shared" si="6"/>
        <v>L'７',</v>
      </c>
      <c r="AB4" t="str">
        <f t="shared" si="7"/>
        <v>L'８',</v>
      </c>
      <c r="AC4" t="str">
        <f t="shared" si="8"/>
        <v>L'９',</v>
      </c>
      <c r="AD4" t="str">
        <f t="shared" si="9"/>
        <v>L'ａ',</v>
      </c>
      <c r="AE4" t="str">
        <f t="shared" si="10"/>
        <v>L'ｂ',</v>
      </c>
      <c r="AF4" t="str">
        <f t="shared" si="11"/>
        <v>L'ｃ',</v>
      </c>
      <c r="AG4" t="str">
        <f t="shared" si="12"/>
        <v>L'ｄ',</v>
      </c>
      <c r="AH4" t="str">
        <f t="shared" si="13"/>
        <v>L'ｅ',</v>
      </c>
      <c r="AI4" t="str">
        <f t="shared" si="14"/>
        <v>L'ｆ',</v>
      </c>
    </row>
    <row r="5" spans="2:35" ht="26.5" customHeight="1">
      <c r="B5" s="1">
        <v>2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H5" s="3" t="s">
        <v>125</v>
      </c>
      <c r="I5" s="3" t="s">
        <v>126</v>
      </c>
      <c r="J5" s="3" t="s">
        <v>127</v>
      </c>
      <c r="K5" s="3" t="s">
        <v>128</v>
      </c>
      <c r="L5" s="3" t="s">
        <v>129</v>
      </c>
      <c r="M5" s="3" t="s">
        <v>130</v>
      </c>
      <c r="N5" s="3" t="s">
        <v>131</v>
      </c>
      <c r="O5" s="3" t="s">
        <v>132</v>
      </c>
      <c r="P5" s="3" t="s">
        <v>133</v>
      </c>
      <c r="Q5" s="3" t="s">
        <v>134</v>
      </c>
      <c r="R5" s="3" t="s">
        <v>135</v>
      </c>
      <c r="T5" t="str">
        <f t="shared" si="15"/>
        <v>L'ｇ',</v>
      </c>
      <c r="U5" t="str">
        <f t="shared" si="0"/>
        <v>L'ｈ',</v>
      </c>
      <c r="V5" t="str">
        <f t="shared" si="1"/>
        <v>L'ｉ',</v>
      </c>
      <c r="W5" t="str">
        <f t="shared" si="2"/>
        <v>L'ｊ',</v>
      </c>
      <c r="X5" t="str">
        <f t="shared" si="3"/>
        <v>L'ｋ',</v>
      </c>
      <c r="Y5" t="str">
        <f t="shared" si="4"/>
        <v>L'ｌ',</v>
      </c>
      <c r="Z5" t="str">
        <f t="shared" si="5"/>
        <v>L'ｍ',</v>
      </c>
      <c r="AA5" t="str">
        <f t="shared" si="6"/>
        <v>L'ｎ',</v>
      </c>
      <c r="AB5" t="str">
        <f t="shared" si="7"/>
        <v>L'ｏ',</v>
      </c>
      <c r="AC5" t="str">
        <f t="shared" si="8"/>
        <v>L'ｐ',</v>
      </c>
      <c r="AD5" t="str">
        <f t="shared" si="9"/>
        <v>L'ｑ',</v>
      </c>
      <c r="AE5" t="str">
        <f t="shared" si="10"/>
        <v>L'ｒ',</v>
      </c>
      <c r="AF5" t="str">
        <f t="shared" si="11"/>
        <v>L'ｓ',</v>
      </c>
      <c r="AG5" t="str">
        <f t="shared" si="12"/>
        <v>L'ｔ',</v>
      </c>
      <c r="AH5" t="str">
        <f t="shared" si="13"/>
        <v>L'ｕ',</v>
      </c>
      <c r="AI5" t="str">
        <f t="shared" si="14"/>
        <v>L'ｖ',</v>
      </c>
    </row>
    <row r="6" spans="2:35" ht="26.5" customHeight="1">
      <c r="B6" s="1">
        <v>3</v>
      </c>
      <c r="C6" s="3" t="s">
        <v>136</v>
      </c>
      <c r="D6" s="3" t="s">
        <v>137</v>
      </c>
      <c r="E6" s="3" t="s">
        <v>138</v>
      </c>
      <c r="F6" s="3" t="s">
        <v>139</v>
      </c>
      <c r="G6" s="3" t="s">
        <v>140</v>
      </c>
      <c r="H6" s="3" t="s">
        <v>141</v>
      </c>
      <c r="I6" s="3" t="s">
        <v>142</v>
      </c>
      <c r="J6" s="3" t="s">
        <v>143</v>
      </c>
      <c r="K6" s="3" t="s">
        <v>144</v>
      </c>
      <c r="L6" s="3" t="s">
        <v>145</v>
      </c>
      <c r="M6" s="3" t="s">
        <v>146</v>
      </c>
      <c r="N6" s="3" t="s">
        <v>147</v>
      </c>
      <c r="O6" s="3" t="s">
        <v>148</v>
      </c>
      <c r="P6" s="3" t="s">
        <v>149</v>
      </c>
      <c r="Q6" s="3" t="s">
        <v>150</v>
      </c>
      <c r="R6" s="3" t="s">
        <v>151</v>
      </c>
      <c r="T6" t="str">
        <f t="shared" si="15"/>
        <v>L'ｗ',</v>
      </c>
      <c r="U6" t="str">
        <f t="shared" si="0"/>
        <v>L'ｘ',</v>
      </c>
      <c r="V6" t="str">
        <f t="shared" si="1"/>
        <v>L'ｙ',</v>
      </c>
      <c r="W6" t="str">
        <f t="shared" si="2"/>
        <v>L'ｚ',</v>
      </c>
      <c r="X6" t="str">
        <f t="shared" si="3"/>
        <v>L'Ａ',</v>
      </c>
      <c r="Y6" t="str">
        <f t="shared" si="4"/>
        <v>L'Ｂ',</v>
      </c>
      <c r="Z6" t="str">
        <f t="shared" si="5"/>
        <v>L'Ｃ',</v>
      </c>
      <c r="AA6" t="str">
        <f t="shared" si="6"/>
        <v>L'Ｄ',</v>
      </c>
      <c r="AB6" t="str">
        <f t="shared" si="7"/>
        <v>L'Ｅ',</v>
      </c>
      <c r="AC6" t="str">
        <f t="shared" si="8"/>
        <v>L'Ｆ',</v>
      </c>
      <c r="AD6" t="str">
        <f t="shared" si="9"/>
        <v>L'Ｇ',</v>
      </c>
      <c r="AE6" t="str">
        <f t="shared" si="10"/>
        <v>L'Ｈ',</v>
      </c>
      <c r="AF6" t="str">
        <f t="shared" si="11"/>
        <v>L'Ｉ',</v>
      </c>
      <c r="AG6" t="str">
        <f t="shared" si="12"/>
        <v>L'Ｊ',</v>
      </c>
      <c r="AH6" t="str">
        <f t="shared" si="13"/>
        <v>L'Ｋ',</v>
      </c>
      <c r="AI6" t="str">
        <f t="shared" si="14"/>
        <v>L'Ｌ',</v>
      </c>
    </row>
    <row r="7" spans="2:35" ht="26.5" customHeight="1">
      <c r="B7" s="1">
        <v>4</v>
      </c>
      <c r="C7" s="3" t="s">
        <v>152</v>
      </c>
      <c r="D7" s="3" t="s">
        <v>153</v>
      </c>
      <c r="E7" s="3" t="s">
        <v>154</v>
      </c>
      <c r="F7" s="3" t="s">
        <v>155</v>
      </c>
      <c r="G7" s="3" t="s">
        <v>156</v>
      </c>
      <c r="H7" s="3" t="s">
        <v>157</v>
      </c>
      <c r="I7" s="3" t="s">
        <v>158</v>
      </c>
      <c r="J7" s="3" t="s">
        <v>159</v>
      </c>
      <c r="K7" s="3" t="s">
        <v>160</v>
      </c>
      <c r="L7" s="3" t="s">
        <v>161</v>
      </c>
      <c r="M7" s="3" t="s">
        <v>162</v>
      </c>
      <c r="N7" s="3" t="s">
        <v>163</v>
      </c>
      <c r="O7" s="3" t="s">
        <v>164</v>
      </c>
      <c r="P7" s="3" t="s">
        <v>165</v>
      </c>
      <c r="Q7" s="3" t="s">
        <v>166</v>
      </c>
      <c r="R7" s="3" t="s">
        <v>167</v>
      </c>
      <c r="T7" t="str">
        <f t="shared" si="15"/>
        <v>L'Ｍ',</v>
      </c>
      <c r="U7" t="str">
        <f t="shared" si="0"/>
        <v>L'Ｎ',</v>
      </c>
      <c r="V7" t="str">
        <f t="shared" si="1"/>
        <v>L'Ｏ',</v>
      </c>
      <c r="W7" t="str">
        <f t="shared" si="2"/>
        <v>L'Ｐ',</v>
      </c>
      <c r="X7" t="str">
        <f t="shared" si="3"/>
        <v>L'Ｑ',</v>
      </c>
      <c r="Y7" t="str">
        <f t="shared" si="4"/>
        <v>L'Ｒ',</v>
      </c>
      <c r="Z7" t="str">
        <f t="shared" si="5"/>
        <v>L'Ｓ',</v>
      </c>
      <c r="AA7" t="str">
        <f t="shared" si="6"/>
        <v>L'Ｔ',</v>
      </c>
      <c r="AB7" t="str">
        <f t="shared" si="7"/>
        <v>L'Ｕ',</v>
      </c>
      <c r="AC7" t="str">
        <f t="shared" si="8"/>
        <v>L'Ｖ',</v>
      </c>
      <c r="AD7" t="str">
        <f t="shared" si="9"/>
        <v>L'Ｗ',</v>
      </c>
      <c r="AE7" t="str">
        <f t="shared" si="10"/>
        <v>L'Ｘ',</v>
      </c>
      <c r="AF7" t="str">
        <f t="shared" si="11"/>
        <v>L'Ｙ',</v>
      </c>
      <c r="AG7" t="str">
        <f t="shared" si="12"/>
        <v>L'Ｚ',</v>
      </c>
      <c r="AH7" t="str">
        <f t="shared" si="13"/>
        <v>L'［',</v>
      </c>
      <c r="AI7" t="str">
        <f t="shared" si="14"/>
        <v>L'］',</v>
      </c>
    </row>
    <row r="8" spans="2:35" ht="26.5" customHeight="1">
      <c r="B8" s="1">
        <v>5</v>
      </c>
      <c r="C8" s="3" t="s">
        <v>168</v>
      </c>
      <c r="D8" s="3" t="s">
        <v>169</v>
      </c>
      <c r="E8" s="3" t="s">
        <v>88</v>
      </c>
      <c r="F8" s="3" t="s">
        <v>89</v>
      </c>
      <c r="G8" s="3" t="s">
        <v>170</v>
      </c>
      <c r="H8" s="3" t="s">
        <v>171</v>
      </c>
      <c r="I8" s="3" t="s">
        <v>172</v>
      </c>
      <c r="J8" s="3" t="s">
        <v>90</v>
      </c>
      <c r="K8" s="3" t="s">
        <v>91</v>
      </c>
      <c r="L8" s="3" t="s">
        <v>87</v>
      </c>
      <c r="M8" s="3" t="s">
        <v>86</v>
      </c>
      <c r="N8" s="3" t="s">
        <v>93</v>
      </c>
      <c r="O8" s="3" t="s">
        <v>94</v>
      </c>
      <c r="P8" s="3" t="s">
        <v>95</v>
      </c>
      <c r="Q8" s="4" t="s">
        <v>96</v>
      </c>
      <c r="R8" s="3" t="s">
        <v>97</v>
      </c>
      <c r="T8" t="str">
        <f t="shared" si="15"/>
        <v>L'｛',</v>
      </c>
      <c r="U8" t="str">
        <f t="shared" si="0"/>
        <v>L'｝',</v>
      </c>
      <c r="V8" t="str">
        <f t="shared" si="1"/>
        <v>L'「',</v>
      </c>
      <c r="W8" t="str">
        <f t="shared" si="2"/>
        <v>L'」',</v>
      </c>
      <c r="X8" t="str">
        <f t="shared" si="3"/>
        <v>L'＜',</v>
      </c>
      <c r="Y8" t="str">
        <f t="shared" si="4"/>
        <v>L'＞',</v>
      </c>
      <c r="Z8" t="str">
        <f t="shared" si="5"/>
        <v>L'＠',</v>
      </c>
      <c r="AA8" t="str">
        <f t="shared" si="6"/>
        <v>L'※',</v>
      </c>
      <c r="AB8" t="str">
        <f t="shared" si="7"/>
        <v>L'ー',</v>
      </c>
      <c r="AC8" t="str">
        <f t="shared" si="8"/>
        <v>L'、',</v>
      </c>
      <c r="AD8" t="str">
        <f t="shared" si="9"/>
        <v>L'。',</v>
      </c>
      <c r="AE8" t="str">
        <f t="shared" si="10"/>
        <v>L'，',</v>
      </c>
      <c r="AF8" t="str">
        <f t="shared" si="11"/>
        <v>L'．',</v>
      </c>
      <c r="AG8" t="str">
        <f t="shared" si="12"/>
        <v>L'・',</v>
      </c>
      <c r="AH8" t="str">
        <f t="shared" si="13"/>
        <v>L'’',</v>
      </c>
      <c r="AI8" t="str">
        <f t="shared" si="14"/>
        <v>L'ヴ',</v>
      </c>
    </row>
    <row r="9" spans="2:35" ht="26.5" customHeight="1">
      <c r="B9" s="1">
        <v>6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" t="s">
        <v>21</v>
      </c>
      <c r="T9" t="str">
        <f t="shared" si="15"/>
        <v>L'あ',</v>
      </c>
      <c r="U9" t="str">
        <f t="shared" si="0"/>
        <v>L'い',</v>
      </c>
      <c r="V9" t="str">
        <f t="shared" si="1"/>
        <v>L'う',</v>
      </c>
      <c r="W9" t="str">
        <f t="shared" si="2"/>
        <v>L'え',</v>
      </c>
      <c r="X9" t="str">
        <f t="shared" si="3"/>
        <v>L'お',</v>
      </c>
      <c r="Y9" t="str">
        <f t="shared" si="4"/>
        <v>L'か',</v>
      </c>
      <c r="Z9" t="str">
        <f t="shared" si="5"/>
        <v>L'き',</v>
      </c>
      <c r="AA9" t="str">
        <f t="shared" si="6"/>
        <v>L'く',</v>
      </c>
      <c r="AB9" t="str">
        <f t="shared" si="7"/>
        <v>L'け',</v>
      </c>
      <c r="AC9" t="str">
        <f t="shared" si="8"/>
        <v>L'こ',</v>
      </c>
      <c r="AD9" t="str">
        <f t="shared" si="9"/>
        <v>L'さ',</v>
      </c>
      <c r="AE9" t="str">
        <f t="shared" si="10"/>
        <v>L'し',</v>
      </c>
      <c r="AF9" t="str">
        <f t="shared" si="11"/>
        <v>L'す',</v>
      </c>
      <c r="AG9" t="str">
        <f t="shared" si="12"/>
        <v>L'せ',</v>
      </c>
      <c r="AH9" t="str">
        <f t="shared" si="13"/>
        <v>L'そ',</v>
      </c>
      <c r="AI9" t="str">
        <f t="shared" si="14"/>
        <v>L'た',</v>
      </c>
    </row>
    <row r="10" spans="2:35" ht="26.5" customHeight="1">
      <c r="B10" s="1">
        <v>7</v>
      </c>
      <c r="C10" s="3" t="s">
        <v>22</v>
      </c>
      <c r="D10" s="3" t="s">
        <v>23</v>
      </c>
      <c r="E10" s="3" t="s">
        <v>24</v>
      </c>
      <c r="F10" s="3" t="s">
        <v>25</v>
      </c>
      <c r="G10" s="3" t="s">
        <v>26</v>
      </c>
      <c r="H10" s="3" t="s">
        <v>27</v>
      </c>
      <c r="I10" s="3" t="s">
        <v>28</v>
      </c>
      <c r="J10" s="3" t="s">
        <v>29</v>
      </c>
      <c r="K10" s="3" t="s">
        <v>30</v>
      </c>
      <c r="L10" s="3" t="s">
        <v>31</v>
      </c>
      <c r="M10" s="3" t="s">
        <v>32</v>
      </c>
      <c r="N10" s="3" t="s">
        <v>33</v>
      </c>
      <c r="O10" s="3" t="s">
        <v>34</v>
      </c>
      <c r="P10" s="3" t="s">
        <v>35</v>
      </c>
      <c r="Q10" s="3" t="s">
        <v>36</v>
      </c>
      <c r="R10" s="3" t="s">
        <v>37</v>
      </c>
      <c r="T10" t="str">
        <f t="shared" si="15"/>
        <v>L'ち',</v>
      </c>
      <c r="U10" t="str">
        <f t="shared" si="0"/>
        <v>L'つ',</v>
      </c>
      <c r="V10" t="str">
        <f t="shared" si="1"/>
        <v>L'て',</v>
      </c>
      <c r="W10" t="str">
        <f t="shared" si="2"/>
        <v>L'と',</v>
      </c>
      <c r="X10" t="str">
        <f t="shared" si="3"/>
        <v>L'な',</v>
      </c>
      <c r="Y10" t="str">
        <f t="shared" si="4"/>
        <v>L'に',</v>
      </c>
      <c r="Z10" t="str">
        <f t="shared" si="5"/>
        <v>L'ぬ',</v>
      </c>
      <c r="AA10" t="str">
        <f t="shared" si="6"/>
        <v>L'ね',</v>
      </c>
      <c r="AB10" t="str">
        <f t="shared" si="7"/>
        <v>L'の',</v>
      </c>
      <c r="AC10" t="str">
        <f t="shared" si="8"/>
        <v>L'は',</v>
      </c>
      <c r="AD10" t="str">
        <f t="shared" si="9"/>
        <v>L'ひ',</v>
      </c>
      <c r="AE10" t="str">
        <f t="shared" si="10"/>
        <v>L'ふ',</v>
      </c>
      <c r="AF10" t="str">
        <f t="shared" si="11"/>
        <v>L'へ',</v>
      </c>
      <c r="AG10" t="str">
        <f t="shared" si="12"/>
        <v>L'ほ',</v>
      </c>
      <c r="AH10" t="str">
        <f t="shared" si="13"/>
        <v>L'ま',</v>
      </c>
      <c r="AI10" t="str">
        <f t="shared" si="14"/>
        <v>L'み',</v>
      </c>
    </row>
    <row r="11" spans="2:35" ht="26.5" customHeight="1">
      <c r="B11" s="1">
        <v>8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3" t="s">
        <v>50</v>
      </c>
      <c r="P11" s="3" t="s">
        <v>51</v>
      </c>
      <c r="Q11" s="3" t="s">
        <v>52</v>
      </c>
      <c r="R11" s="3" t="s">
        <v>53</v>
      </c>
      <c r="T11" t="str">
        <f t="shared" si="15"/>
        <v>L'む',</v>
      </c>
      <c r="U11" t="str">
        <f t="shared" si="0"/>
        <v>L'め',</v>
      </c>
      <c r="V11" t="str">
        <f t="shared" si="1"/>
        <v>L'も',</v>
      </c>
      <c r="W11" t="str">
        <f t="shared" si="2"/>
        <v>L'や',</v>
      </c>
      <c r="X11" t="str">
        <f t="shared" si="3"/>
        <v>L'ゆ',</v>
      </c>
      <c r="Y11" t="str">
        <f t="shared" si="4"/>
        <v>L'よ',</v>
      </c>
      <c r="Z11" t="str">
        <f t="shared" si="5"/>
        <v>L'ら',</v>
      </c>
      <c r="AA11" t="str">
        <f t="shared" si="6"/>
        <v>L'り',</v>
      </c>
      <c r="AB11" t="str">
        <f t="shared" si="7"/>
        <v>L'る',</v>
      </c>
      <c r="AC11" t="str">
        <f t="shared" si="8"/>
        <v>L'れ',</v>
      </c>
      <c r="AD11" t="str">
        <f t="shared" si="9"/>
        <v>L'ろ',</v>
      </c>
      <c r="AE11" t="str">
        <f t="shared" si="10"/>
        <v>L'わ',</v>
      </c>
      <c r="AF11" t="str">
        <f t="shared" si="11"/>
        <v>L'を',</v>
      </c>
      <c r="AG11" t="str">
        <f t="shared" si="12"/>
        <v>L'ん',</v>
      </c>
      <c r="AH11" t="str">
        <f t="shared" si="13"/>
        <v>L'が',</v>
      </c>
      <c r="AI11" t="str">
        <f t="shared" si="14"/>
        <v>L'ぎ',</v>
      </c>
    </row>
    <row r="12" spans="2:35" ht="26.5" customHeight="1">
      <c r="B12" s="1">
        <v>9</v>
      </c>
      <c r="C12" s="3" t="s">
        <v>54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 t="s">
        <v>60</v>
      </c>
      <c r="J12" s="3" t="s">
        <v>61</v>
      </c>
      <c r="K12" s="3" t="s">
        <v>62</v>
      </c>
      <c r="L12" s="3" t="s">
        <v>63</v>
      </c>
      <c r="M12" s="3" t="s">
        <v>64</v>
      </c>
      <c r="N12" s="3" t="s">
        <v>65</v>
      </c>
      <c r="O12" s="3" t="s">
        <v>66</v>
      </c>
      <c r="P12" s="3" t="s">
        <v>67</v>
      </c>
      <c r="Q12" s="3" t="s">
        <v>68</v>
      </c>
      <c r="R12" s="3" t="s">
        <v>69</v>
      </c>
      <c r="T12" t="str">
        <f t="shared" si="15"/>
        <v>L'ぐ',</v>
      </c>
      <c r="U12" t="str">
        <f t="shared" si="0"/>
        <v>L'げ',</v>
      </c>
      <c r="V12" t="str">
        <f t="shared" si="1"/>
        <v>L'ご',</v>
      </c>
      <c r="W12" t="str">
        <f t="shared" si="2"/>
        <v>L'ざ',</v>
      </c>
      <c r="X12" t="str">
        <f t="shared" si="3"/>
        <v>L'じ',</v>
      </c>
      <c r="Y12" t="str">
        <f t="shared" si="4"/>
        <v>L'ず',</v>
      </c>
      <c r="Z12" t="str">
        <f t="shared" si="5"/>
        <v>L'ぜ',</v>
      </c>
      <c r="AA12" t="str">
        <f t="shared" si="6"/>
        <v>L'ぞ',</v>
      </c>
      <c r="AB12" t="str">
        <f t="shared" si="7"/>
        <v>L'だ',</v>
      </c>
      <c r="AC12" t="str">
        <f t="shared" si="8"/>
        <v>L'ぢ',</v>
      </c>
      <c r="AD12" t="str">
        <f t="shared" si="9"/>
        <v>L'づ',</v>
      </c>
      <c r="AE12" t="str">
        <f t="shared" si="10"/>
        <v>L'で',</v>
      </c>
      <c r="AF12" t="str">
        <f t="shared" si="11"/>
        <v>L'ど',</v>
      </c>
      <c r="AG12" t="str">
        <f t="shared" si="12"/>
        <v>L'ば',</v>
      </c>
      <c r="AH12" t="str">
        <f t="shared" si="13"/>
        <v>L'び',</v>
      </c>
      <c r="AI12" t="str">
        <f t="shared" si="14"/>
        <v>L'ぶ',</v>
      </c>
    </row>
    <row r="13" spans="2:35" ht="26.5" customHeight="1">
      <c r="B13" s="1" t="s">
        <v>0</v>
      </c>
      <c r="C13" s="3" t="s">
        <v>70</v>
      </c>
      <c r="D13" s="3" t="s">
        <v>71</v>
      </c>
      <c r="E13" s="3" t="s">
        <v>72</v>
      </c>
      <c r="F13" s="3" t="s">
        <v>73</v>
      </c>
      <c r="G13" s="3" t="s">
        <v>74</v>
      </c>
      <c r="H13" s="3" t="s">
        <v>75</v>
      </c>
      <c r="I13" s="3" t="s">
        <v>76</v>
      </c>
      <c r="J13" s="3" t="s">
        <v>77</v>
      </c>
      <c r="K13" s="3" t="s">
        <v>78</v>
      </c>
      <c r="L13" s="3" t="s">
        <v>79</v>
      </c>
      <c r="M13" s="3" t="s">
        <v>80</v>
      </c>
      <c r="N13" s="3" t="s">
        <v>81</v>
      </c>
      <c r="O13" s="3" t="s">
        <v>82</v>
      </c>
      <c r="P13" s="3" t="s">
        <v>83</v>
      </c>
      <c r="Q13" s="3" t="s">
        <v>84</v>
      </c>
      <c r="R13" s="3" t="s">
        <v>85</v>
      </c>
      <c r="T13" t="str">
        <f t="shared" si="15"/>
        <v>L'べ',</v>
      </c>
      <c r="U13" t="str">
        <f t="shared" si="0"/>
        <v>L'ぼ',</v>
      </c>
      <c r="V13" t="str">
        <f t="shared" si="1"/>
        <v>L'ぱ',</v>
      </c>
      <c r="W13" t="str">
        <f t="shared" si="2"/>
        <v>L'ぴ',</v>
      </c>
      <c r="X13" t="str">
        <f t="shared" si="3"/>
        <v>L'ぷ',</v>
      </c>
      <c r="Y13" t="str">
        <f t="shared" si="4"/>
        <v>L'ぺ',</v>
      </c>
      <c r="Z13" t="str">
        <f t="shared" si="5"/>
        <v>L'ぽ',</v>
      </c>
      <c r="AA13" t="str">
        <f t="shared" si="6"/>
        <v>L'ぁ',</v>
      </c>
      <c r="AB13" t="str">
        <f t="shared" si="7"/>
        <v>L'ぃ',</v>
      </c>
      <c r="AC13" t="str">
        <f t="shared" si="8"/>
        <v>L'ぅ',</v>
      </c>
      <c r="AD13" t="str">
        <f t="shared" si="9"/>
        <v>L'ぇ',</v>
      </c>
      <c r="AE13" t="str">
        <f t="shared" si="10"/>
        <v>L'ぉ',</v>
      </c>
      <c r="AF13" t="str">
        <f t="shared" si="11"/>
        <v>L'っ',</v>
      </c>
      <c r="AG13" t="str">
        <f t="shared" si="12"/>
        <v>L'ゃ',</v>
      </c>
      <c r="AH13" t="str">
        <f t="shared" si="13"/>
        <v>L'ゅ',</v>
      </c>
      <c r="AI13" t="str">
        <f t="shared" si="14"/>
        <v>L'ょ',</v>
      </c>
    </row>
    <row r="14" spans="2:35" ht="26.5" customHeight="1">
      <c r="B14" s="1" t="s">
        <v>1</v>
      </c>
      <c r="C14" s="3" t="str">
        <f>PHONETIC(C9)</f>
        <v>ア</v>
      </c>
      <c r="D14" s="3" t="str">
        <f t="shared" ref="D14:R14" si="16">PHONETIC(D9)</f>
        <v>イ</v>
      </c>
      <c r="E14" s="3" t="str">
        <f t="shared" si="16"/>
        <v>ウ</v>
      </c>
      <c r="F14" s="3" t="str">
        <f t="shared" si="16"/>
        <v>エ</v>
      </c>
      <c r="G14" s="3" t="str">
        <f t="shared" si="16"/>
        <v>オ</v>
      </c>
      <c r="H14" s="3" t="str">
        <f t="shared" si="16"/>
        <v>カ</v>
      </c>
      <c r="I14" s="3" t="str">
        <f t="shared" si="16"/>
        <v>キ</v>
      </c>
      <c r="J14" s="3" t="str">
        <f t="shared" si="16"/>
        <v>ク</v>
      </c>
      <c r="K14" s="3" t="str">
        <f t="shared" si="16"/>
        <v>ケ</v>
      </c>
      <c r="L14" s="3" t="str">
        <f t="shared" si="16"/>
        <v>コ</v>
      </c>
      <c r="M14" s="3" t="str">
        <f t="shared" si="16"/>
        <v>サ</v>
      </c>
      <c r="N14" s="3" t="str">
        <f t="shared" si="16"/>
        <v>シ</v>
      </c>
      <c r="O14" s="3" t="str">
        <f t="shared" si="16"/>
        <v>ス</v>
      </c>
      <c r="P14" s="3" t="str">
        <f t="shared" si="16"/>
        <v>セ</v>
      </c>
      <c r="Q14" s="3" t="str">
        <f t="shared" si="16"/>
        <v>ソ</v>
      </c>
      <c r="R14" s="3" t="str">
        <f t="shared" si="16"/>
        <v>タ</v>
      </c>
      <c r="T14" t="str">
        <f t="shared" si="15"/>
        <v>L'ア',</v>
      </c>
      <c r="U14" t="str">
        <f t="shared" si="0"/>
        <v>L'イ',</v>
      </c>
      <c r="V14" t="str">
        <f t="shared" si="1"/>
        <v>L'ウ',</v>
      </c>
      <c r="W14" t="str">
        <f t="shared" si="2"/>
        <v>L'エ',</v>
      </c>
      <c r="X14" t="str">
        <f t="shared" si="3"/>
        <v>L'オ',</v>
      </c>
      <c r="Y14" t="str">
        <f t="shared" si="4"/>
        <v>L'カ',</v>
      </c>
      <c r="Z14" t="str">
        <f t="shared" si="5"/>
        <v>L'キ',</v>
      </c>
      <c r="AA14" t="str">
        <f t="shared" si="6"/>
        <v>L'ク',</v>
      </c>
      <c r="AB14" t="str">
        <f t="shared" si="7"/>
        <v>L'ケ',</v>
      </c>
      <c r="AC14" t="str">
        <f t="shared" si="8"/>
        <v>L'コ',</v>
      </c>
      <c r="AD14" t="str">
        <f t="shared" si="9"/>
        <v>L'サ',</v>
      </c>
      <c r="AE14" t="str">
        <f t="shared" si="10"/>
        <v>L'シ',</v>
      </c>
      <c r="AF14" t="str">
        <f t="shared" si="11"/>
        <v>L'ス',</v>
      </c>
      <c r="AG14" t="str">
        <f t="shared" si="12"/>
        <v>L'セ',</v>
      </c>
      <c r="AH14" t="str">
        <f t="shared" si="13"/>
        <v>L'ソ',</v>
      </c>
      <c r="AI14" t="str">
        <f t="shared" si="14"/>
        <v>L'タ',</v>
      </c>
    </row>
    <row r="15" spans="2:35" ht="26.5" customHeight="1">
      <c r="B15" s="1" t="s">
        <v>2</v>
      </c>
      <c r="C15" s="3" t="str">
        <f t="shared" ref="C15:R15" si="17">PHONETIC(C10)</f>
        <v>チ</v>
      </c>
      <c r="D15" s="3" t="str">
        <f t="shared" si="17"/>
        <v>ツ</v>
      </c>
      <c r="E15" s="3" t="str">
        <f t="shared" si="17"/>
        <v>テ</v>
      </c>
      <c r="F15" s="3" t="str">
        <f t="shared" si="17"/>
        <v>ト</v>
      </c>
      <c r="G15" s="3" t="str">
        <f t="shared" si="17"/>
        <v>ナ</v>
      </c>
      <c r="H15" s="3" t="str">
        <f t="shared" si="17"/>
        <v>ニ</v>
      </c>
      <c r="I15" s="3" t="str">
        <f t="shared" si="17"/>
        <v>ヌ</v>
      </c>
      <c r="J15" s="3" t="str">
        <f t="shared" si="17"/>
        <v>ネ</v>
      </c>
      <c r="K15" s="3" t="str">
        <f t="shared" si="17"/>
        <v>ノ</v>
      </c>
      <c r="L15" s="3" t="str">
        <f t="shared" si="17"/>
        <v>ハ</v>
      </c>
      <c r="M15" s="3" t="str">
        <f t="shared" si="17"/>
        <v>ヒ</v>
      </c>
      <c r="N15" s="3" t="str">
        <f t="shared" si="17"/>
        <v>フ</v>
      </c>
      <c r="O15" s="3" t="str">
        <f t="shared" si="17"/>
        <v>ヘ</v>
      </c>
      <c r="P15" s="3" t="str">
        <f t="shared" si="17"/>
        <v>ホ</v>
      </c>
      <c r="Q15" s="3" t="str">
        <f t="shared" si="17"/>
        <v>マ</v>
      </c>
      <c r="R15" s="3" t="str">
        <f t="shared" si="17"/>
        <v>ミ</v>
      </c>
      <c r="T15" t="str">
        <f t="shared" si="15"/>
        <v>L'チ',</v>
      </c>
      <c r="U15" t="str">
        <f t="shared" si="0"/>
        <v>L'ツ',</v>
      </c>
      <c r="V15" t="str">
        <f t="shared" si="1"/>
        <v>L'テ',</v>
      </c>
      <c r="W15" t="str">
        <f t="shared" si="2"/>
        <v>L'ト',</v>
      </c>
      <c r="X15" t="str">
        <f t="shared" si="3"/>
        <v>L'ナ',</v>
      </c>
      <c r="Y15" t="str">
        <f t="shared" si="4"/>
        <v>L'ニ',</v>
      </c>
      <c r="Z15" t="str">
        <f t="shared" si="5"/>
        <v>L'ヌ',</v>
      </c>
      <c r="AA15" t="str">
        <f t="shared" si="6"/>
        <v>L'ネ',</v>
      </c>
      <c r="AB15" t="str">
        <f t="shared" si="7"/>
        <v>L'ノ',</v>
      </c>
      <c r="AC15" t="str">
        <f t="shared" si="8"/>
        <v>L'ハ',</v>
      </c>
      <c r="AD15" t="str">
        <f t="shared" si="9"/>
        <v>L'ヒ',</v>
      </c>
      <c r="AE15" t="str">
        <f t="shared" si="10"/>
        <v>L'フ',</v>
      </c>
      <c r="AF15" t="str">
        <f t="shared" si="11"/>
        <v>L'ヘ',</v>
      </c>
      <c r="AG15" t="str">
        <f t="shared" si="12"/>
        <v>L'ホ',</v>
      </c>
      <c r="AH15" t="str">
        <f t="shared" si="13"/>
        <v>L'マ',</v>
      </c>
      <c r="AI15" t="str">
        <f t="shared" si="14"/>
        <v>L'ミ',</v>
      </c>
    </row>
    <row r="16" spans="2:35" ht="26.5" customHeight="1">
      <c r="B16" s="1" t="s">
        <v>3</v>
      </c>
      <c r="C16" s="3" t="str">
        <f t="shared" ref="C16:R16" si="18">PHONETIC(C11)</f>
        <v>ム</v>
      </c>
      <c r="D16" s="3" t="str">
        <f t="shared" si="18"/>
        <v>メ</v>
      </c>
      <c r="E16" s="3" t="str">
        <f t="shared" si="18"/>
        <v>モ</v>
      </c>
      <c r="F16" s="3" t="str">
        <f t="shared" si="18"/>
        <v>ヤ</v>
      </c>
      <c r="G16" s="3" t="str">
        <f t="shared" si="18"/>
        <v>ユ</v>
      </c>
      <c r="H16" s="3" t="str">
        <f t="shared" si="18"/>
        <v>ヨ</v>
      </c>
      <c r="I16" s="3" t="str">
        <f t="shared" si="18"/>
        <v>ラ</v>
      </c>
      <c r="J16" s="3" t="str">
        <f t="shared" si="18"/>
        <v>リ</v>
      </c>
      <c r="K16" s="3" t="str">
        <f t="shared" si="18"/>
        <v>ル</v>
      </c>
      <c r="L16" s="3" t="str">
        <f t="shared" si="18"/>
        <v>レ</v>
      </c>
      <c r="M16" s="3" t="str">
        <f t="shared" si="18"/>
        <v>ロ</v>
      </c>
      <c r="N16" s="3" t="str">
        <f t="shared" si="18"/>
        <v>ワ</v>
      </c>
      <c r="O16" s="3" t="str">
        <f t="shared" si="18"/>
        <v>ヲ</v>
      </c>
      <c r="P16" s="3" t="str">
        <f t="shared" si="18"/>
        <v>ン</v>
      </c>
      <c r="Q16" s="3" t="str">
        <f t="shared" si="18"/>
        <v>ガ</v>
      </c>
      <c r="R16" s="3" t="str">
        <f t="shared" si="18"/>
        <v>ギ</v>
      </c>
      <c r="T16" t="str">
        <f t="shared" si="15"/>
        <v>L'ム',</v>
      </c>
      <c r="U16" t="str">
        <f t="shared" si="0"/>
        <v>L'メ',</v>
      </c>
      <c r="V16" t="str">
        <f t="shared" si="1"/>
        <v>L'モ',</v>
      </c>
      <c r="W16" t="str">
        <f t="shared" si="2"/>
        <v>L'ヤ',</v>
      </c>
      <c r="X16" t="str">
        <f t="shared" si="3"/>
        <v>L'ユ',</v>
      </c>
      <c r="Y16" t="str">
        <f t="shared" si="4"/>
        <v>L'ヨ',</v>
      </c>
      <c r="Z16" t="str">
        <f t="shared" si="5"/>
        <v>L'ラ',</v>
      </c>
      <c r="AA16" t="str">
        <f t="shared" si="6"/>
        <v>L'リ',</v>
      </c>
      <c r="AB16" t="str">
        <f t="shared" si="7"/>
        <v>L'ル',</v>
      </c>
      <c r="AC16" t="str">
        <f t="shared" si="8"/>
        <v>L'レ',</v>
      </c>
      <c r="AD16" t="str">
        <f t="shared" si="9"/>
        <v>L'ロ',</v>
      </c>
      <c r="AE16" t="str">
        <f t="shared" si="10"/>
        <v>L'ワ',</v>
      </c>
      <c r="AF16" t="str">
        <f t="shared" si="11"/>
        <v>L'ヲ',</v>
      </c>
      <c r="AG16" t="str">
        <f t="shared" si="12"/>
        <v>L'ン',</v>
      </c>
      <c r="AH16" t="str">
        <f t="shared" si="13"/>
        <v>L'ガ',</v>
      </c>
      <c r="AI16" t="str">
        <f t="shared" si="14"/>
        <v>L'ギ',</v>
      </c>
    </row>
    <row r="17" spans="2:35" ht="26.5" customHeight="1">
      <c r="B17" s="1" t="s">
        <v>4</v>
      </c>
      <c r="C17" s="3" t="str">
        <f t="shared" ref="C17:R17" si="19">PHONETIC(C12)</f>
        <v>グ</v>
      </c>
      <c r="D17" s="3" t="str">
        <f t="shared" si="19"/>
        <v>ゲ</v>
      </c>
      <c r="E17" s="3" t="str">
        <f t="shared" si="19"/>
        <v>ゴ</v>
      </c>
      <c r="F17" s="3" t="str">
        <f t="shared" si="19"/>
        <v>ザ</v>
      </c>
      <c r="G17" s="3" t="str">
        <f t="shared" si="19"/>
        <v>ジ</v>
      </c>
      <c r="H17" s="3" t="str">
        <f t="shared" si="19"/>
        <v>ズ</v>
      </c>
      <c r="I17" s="3" t="str">
        <f t="shared" si="19"/>
        <v>ゼ</v>
      </c>
      <c r="J17" s="3" t="str">
        <f t="shared" si="19"/>
        <v>ゾ</v>
      </c>
      <c r="K17" s="3" t="str">
        <f t="shared" si="19"/>
        <v>ダ</v>
      </c>
      <c r="L17" s="3" t="str">
        <f t="shared" si="19"/>
        <v>ヂ</v>
      </c>
      <c r="M17" s="3" t="str">
        <f t="shared" si="19"/>
        <v>ヅ</v>
      </c>
      <c r="N17" s="3" t="str">
        <f t="shared" si="19"/>
        <v>デ</v>
      </c>
      <c r="O17" s="3" t="str">
        <f t="shared" si="19"/>
        <v>ド</v>
      </c>
      <c r="P17" s="3" t="str">
        <f t="shared" si="19"/>
        <v>バ</v>
      </c>
      <c r="Q17" s="3" t="str">
        <f t="shared" si="19"/>
        <v>ビ</v>
      </c>
      <c r="R17" s="3" t="str">
        <f t="shared" si="19"/>
        <v>ブ</v>
      </c>
      <c r="T17" t="str">
        <f t="shared" si="15"/>
        <v>L'グ',</v>
      </c>
      <c r="U17" t="str">
        <f t="shared" si="0"/>
        <v>L'ゲ',</v>
      </c>
      <c r="V17" t="str">
        <f t="shared" si="1"/>
        <v>L'ゴ',</v>
      </c>
      <c r="W17" t="str">
        <f t="shared" si="2"/>
        <v>L'ザ',</v>
      </c>
      <c r="X17" t="str">
        <f t="shared" si="3"/>
        <v>L'ジ',</v>
      </c>
      <c r="Y17" t="str">
        <f t="shared" si="4"/>
        <v>L'ズ',</v>
      </c>
      <c r="Z17" t="str">
        <f t="shared" si="5"/>
        <v>L'ゼ',</v>
      </c>
      <c r="AA17" t="str">
        <f t="shared" si="6"/>
        <v>L'ゾ',</v>
      </c>
      <c r="AB17" t="str">
        <f t="shared" si="7"/>
        <v>L'ダ',</v>
      </c>
      <c r="AC17" t="str">
        <f t="shared" si="8"/>
        <v>L'ヂ',</v>
      </c>
      <c r="AD17" t="str">
        <f t="shared" si="9"/>
        <v>L'ヅ',</v>
      </c>
      <c r="AE17" t="str">
        <f t="shared" si="10"/>
        <v>L'デ',</v>
      </c>
      <c r="AF17" t="str">
        <f t="shared" si="11"/>
        <v>L'ド',</v>
      </c>
      <c r="AG17" t="str">
        <f t="shared" si="12"/>
        <v>L'バ',</v>
      </c>
      <c r="AH17" t="str">
        <f t="shared" si="13"/>
        <v>L'ビ',</v>
      </c>
      <c r="AI17" t="str">
        <f t="shared" si="14"/>
        <v>L'ブ',</v>
      </c>
    </row>
    <row r="18" spans="2:35" ht="26.5" customHeight="1">
      <c r="B18" s="1" t="s">
        <v>5</v>
      </c>
      <c r="C18" s="3" t="str">
        <f t="shared" ref="C18:R18" si="20">PHONETIC(C13)</f>
        <v>ベ</v>
      </c>
      <c r="D18" s="3" t="str">
        <f t="shared" si="20"/>
        <v>ボ</v>
      </c>
      <c r="E18" s="3" t="str">
        <f t="shared" si="20"/>
        <v>パ</v>
      </c>
      <c r="F18" s="3" t="str">
        <f t="shared" si="20"/>
        <v>ピ</v>
      </c>
      <c r="G18" s="3" t="str">
        <f t="shared" si="20"/>
        <v>プ</v>
      </c>
      <c r="H18" s="3" t="str">
        <f t="shared" si="20"/>
        <v>ペ</v>
      </c>
      <c r="I18" s="3" t="str">
        <f t="shared" si="20"/>
        <v>ポ</v>
      </c>
      <c r="J18" s="3" t="str">
        <f t="shared" si="20"/>
        <v>ァ</v>
      </c>
      <c r="K18" s="3" t="str">
        <f t="shared" si="20"/>
        <v>ィ</v>
      </c>
      <c r="L18" s="3" t="str">
        <f t="shared" si="20"/>
        <v>ゥ</v>
      </c>
      <c r="M18" s="3" t="str">
        <f t="shared" si="20"/>
        <v>ェ</v>
      </c>
      <c r="N18" s="3" t="str">
        <f t="shared" si="20"/>
        <v>ォ</v>
      </c>
      <c r="O18" s="3" t="str">
        <f t="shared" si="20"/>
        <v>ッ</v>
      </c>
      <c r="P18" s="3" t="str">
        <f t="shared" si="20"/>
        <v>ャ</v>
      </c>
      <c r="Q18" s="3" t="str">
        <f t="shared" si="20"/>
        <v>ュ</v>
      </c>
      <c r="R18" s="3" t="str">
        <f t="shared" si="20"/>
        <v>ョ</v>
      </c>
      <c r="T18" t="str">
        <f t="shared" si="15"/>
        <v>L'ベ',</v>
      </c>
      <c r="U18" t="str">
        <f t="shared" si="0"/>
        <v>L'ボ',</v>
      </c>
      <c r="V18" t="str">
        <f t="shared" si="1"/>
        <v>L'パ',</v>
      </c>
      <c r="W18" t="str">
        <f t="shared" si="2"/>
        <v>L'ピ',</v>
      </c>
      <c r="X18" t="str">
        <f t="shared" si="3"/>
        <v>L'プ',</v>
      </c>
      <c r="Y18" t="str">
        <f t="shared" si="4"/>
        <v>L'ペ',</v>
      </c>
      <c r="Z18" t="str">
        <f t="shared" si="5"/>
        <v>L'ポ',</v>
      </c>
      <c r="AA18" t="str">
        <f t="shared" si="6"/>
        <v>L'ァ',</v>
      </c>
      <c r="AB18" t="str">
        <f t="shared" si="7"/>
        <v>L'ィ',</v>
      </c>
      <c r="AC18" t="str">
        <f t="shared" si="8"/>
        <v>L'ゥ',</v>
      </c>
      <c r="AD18" t="str">
        <f t="shared" si="9"/>
        <v>L'ェ',</v>
      </c>
      <c r="AE18" t="str">
        <f t="shared" si="10"/>
        <v>L'ォ',</v>
      </c>
      <c r="AF18" t="str">
        <f t="shared" si="11"/>
        <v>L'ッ',</v>
      </c>
      <c r="AG18" t="str">
        <f t="shared" si="12"/>
        <v>L'ャ',</v>
      </c>
      <c r="AH18" t="str">
        <f t="shared" si="13"/>
        <v>L'ュ',</v>
      </c>
      <c r="AI18" t="str">
        <f t="shared" si="14"/>
        <v>L'ョ',</v>
      </c>
    </row>
    <row r="19" spans="2:35" ht="26.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35" ht="26.5" customHeight="1">
      <c r="K20" t="s">
        <v>174</v>
      </c>
      <c r="R20" t="s">
        <v>174</v>
      </c>
    </row>
    <row r="21" spans="2:35" ht="26.5" customHeight="1">
      <c r="B21" s="2" t="s">
        <v>98</v>
      </c>
      <c r="C21" s="2" t="s">
        <v>99</v>
      </c>
      <c r="D21" s="2" t="s">
        <v>100</v>
      </c>
      <c r="E21" s="2" t="s">
        <v>173</v>
      </c>
      <c r="F21" s="2"/>
      <c r="G21" s="2"/>
      <c r="K21" t="s">
        <v>187</v>
      </c>
      <c r="R21" t="s">
        <v>188</v>
      </c>
    </row>
    <row r="22" spans="2:35" ht="26.5" customHeight="1">
      <c r="B22" s="2">
        <v>0</v>
      </c>
      <c r="C22" s="2">
        <f t="shared" ref="C22:C30" si="21">ROUNDDOWN(B22/16,0)</f>
        <v>0</v>
      </c>
      <c r="D22" s="2">
        <f>MOD(B22,16)</f>
        <v>0</v>
      </c>
      <c r="E22" s="2" t="str">
        <f>IF(INDEX($C$3:$R$18,C22+1,D22+1)="","",INDEX($C$3:$R$18,C22+1,D22+1))</f>
        <v>　</v>
      </c>
      <c r="F22" s="2"/>
      <c r="G22" s="2"/>
      <c r="K22" t="str">
        <f>"case "&amp;"L'"&amp;E22&amp;"'"&amp;": "&amp;"bmcode = 0x"&amp;RIGHT("0000"&amp;DEC2HEX(C22*16+D22),4)&amp;"; break;"</f>
        <v>case L'　': bmcode = 0x0000; break;</v>
      </c>
      <c r="R22" t="str">
        <f t="shared" ref="R22:R31" si="22">"case "&amp;"L'"&amp;ASC(E22)&amp;"'"&amp;": "&amp;"bmcode = 0x"&amp;RIGHT("0000"&amp;DEC2HEX(C22*16+D22),4)&amp;"; break;"</f>
        <v>case L' ': bmcode = 0x0000; break;</v>
      </c>
    </row>
    <row r="23" spans="2:35" ht="26.5" customHeight="1">
      <c r="B23" s="2">
        <v>1</v>
      </c>
      <c r="C23" s="2">
        <f t="shared" si="21"/>
        <v>0</v>
      </c>
      <c r="D23" s="2">
        <f t="shared" ref="D23:D86" si="23">MOD(B23,16)</f>
        <v>1</v>
      </c>
      <c r="E23" s="2" t="str">
        <f t="shared" ref="E23:E86" si="24">IF(INDEX($C$3:$R$18,C23+1,D23+1)="","",INDEX($C$3:$R$18,C23+1,D23+1))</f>
        <v>！</v>
      </c>
      <c r="F23" s="2"/>
      <c r="G23" s="2"/>
      <c r="K23" t="str">
        <f>"case "&amp;"L'"&amp;E23&amp;"'"&amp;": "&amp;"bmcode = 0x"&amp;RIGHT("0000"&amp;DEC2HEX(C23*16+D23),4)&amp;"; break;"</f>
        <v>case L'！': bmcode = 0x0001; break;</v>
      </c>
      <c r="R23" t="str">
        <f>"case "&amp;"L'"&amp;ASC(E23)&amp;"'"&amp;": "&amp;"bmcode = 0x"&amp;RIGHT("0000"&amp;DEC2HEX(C23*16+D23),4)&amp;"; break;"</f>
        <v>case L'!': bmcode = 0x0001; break;</v>
      </c>
    </row>
    <row r="24" spans="2:35" ht="26.5" customHeight="1">
      <c r="B24" s="2">
        <v>2</v>
      </c>
      <c r="C24" s="2">
        <f t="shared" si="21"/>
        <v>0</v>
      </c>
      <c r="D24" s="2">
        <f t="shared" si="23"/>
        <v>2</v>
      </c>
      <c r="E24" s="2" t="str">
        <f t="shared" si="24"/>
        <v>”</v>
      </c>
      <c r="F24" s="2"/>
      <c r="G24" s="2"/>
      <c r="K24" t="str">
        <f t="shared" ref="K23:K86" si="25">"case "&amp;"L'"&amp;E24&amp;"'"&amp;": "&amp;"bmcode = 0x"&amp;RIGHT("0000"&amp;DEC2HEX(C24*16+D24),4)&amp;"; break;"</f>
        <v>case L'”': bmcode = 0x0002; break;</v>
      </c>
      <c r="R24" t="str">
        <f>"case "&amp;"L'"&amp;ASC(E24)&amp;"'"&amp;": "&amp;"bmcode = 0x"&amp;RIGHT("0000"&amp;DEC2HEX(C24*16+D24),4)&amp;"; break;"</f>
        <v>case L'"': bmcode = 0x0002; break;</v>
      </c>
    </row>
    <row r="25" spans="2:35" ht="26.5" customHeight="1">
      <c r="B25" s="2">
        <v>3</v>
      </c>
      <c r="C25" s="2">
        <f t="shared" si="21"/>
        <v>0</v>
      </c>
      <c r="D25" s="2">
        <f t="shared" si="23"/>
        <v>3</v>
      </c>
      <c r="E25" s="2" t="str">
        <f t="shared" si="24"/>
        <v>＃</v>
      </c>
      <c r="F25" s="2"/>
      <c r="G25" s="2"/>
      <c r="K25" t="str">
        <f t="shared" si="25"/>
        <v>case L'＃': bmcode = 0x0003; break;</v>
      </c>
      <c r="R25" t="str">
        <f t="shared" si="22"/>
        <v>case L'#': bmcode = 0x0003; break;</v>
      </c>
    </row>
    <row r="26" spans="2:35" ht="26.5" customHeight="1">
      <c r="B26" s="2">
        <v>4</v>
      </c>
      <c r="C26" s="2">
        <f t="shared" si="21"/>
        <v>0</v>
      </c>
      <c r="D26" s="2">
        <f t="shared" si="23"/>
        <v>4</v>
      </c>
      <c r="E26" s="2" t="str">
        <f>IF(INDEX($C$3:$R$18,C26+1,D26+1)="","",INDEX($C$3:$R$18,C26+1,D26+1))</f>
        <v>＄</v>
      </c>
      <c r="F26" s="2"/>
      <c r="G26" s="2"/>
      <c r="K26" t="str">
        <f t="shared" si="25"/>
        <v>case L'＄': bmcode = 0x0004; break;</v>
      </c>
      <c r="R26" t="str">
        <f t="shared" si="22"/>
        <v>case L'$': bmcode = 0x0004; break;</v>
      </c>
    </row>
    <row r="27" spans="2:35" ht="26.5" customHeight="1">
      <c r="B27" s="2">
        <v>5</v>
      </c>
      <c r="C27" s="2">
        <f t="shared" si="21"/>
        <v>0</v>
      </c>
      <c r="D27" s="2">
        <f t="shared" si="23"/>
        <v>5</v>
      </c>
      <c r="E27" s="2" t="str">
        <f t="shared" si="24"/>
        <v>％</v>
      </c>
      <c r="F27" s="2"/>
      <c r="G27" s="2"/>
      <c r="K27" t="str">
        <f t="shared" si="25"/>
        <v>case L'％': bmcode = 0x0005; break;</v>
      </c>
      <c r="R27" t="str">
        <f t="shared" si="22"/>
        <v>case L'%': bmcode = 0x0005; break;</v>
      </c>
    </row>
    <row r="28" spans="2:35" ht="26.5" customHeight="1">
      <c r="B28" s="2">
        <v>6</v>
      </c>
      <c r="C28" s="2">
        <f t="shared" si="21"/>
        <v>0</v>
      </c>
      <c r="D28" s="2">
        <f t="shared" si="23"/>
        <v>6</v>
      </c>
      <c r="E28" s="2" t="str">
        <f t="shared" si="24"/>
        <v>＆</v>
      </c>
      <c r="F28" s="2"/>
      <c r="G28" s="2"/>
      <c r="K28" t="str">
        <f t="shared" si="25"/>
        <v>case L'＆': bmcode = 0x0006; break;</v>
      </c>
      <c r="R28" t="str">
        <f t="shared" si="22"/>
        <v>case L'&amp;': bmcode = 0x0006; break;</v>
      </c>
    </row>
    <row r="29" spans="2:35" ht="26.5" customHeight="1">
      <c r="B29" s="2">
        <v>7</v>
      </c>
      <c r="C29" s="2">
        <f t="shared" si="21"/>
        <v>0</v>
      </c>
      <c r="D29" s="2">
        <f t="shared" si="23"/>
        <v>7</v>
      </c>
      <c r="E29" s="2" t="str">
        <f t="shared" si="24"/>
        <v>（</v>
      </c>
      <c r="F29" s="2"/>
      <c r="G29" s="2"/>
      <c r="K29" t="str">
        <f t="shared" si="25"/>
        <v>case L'（': bmcode = 0x0007; break;</v>
      </c>
      <c r="R29" t="str">
        <f t="shared" si="22"/>
        <v>case L'(': bmcode = 0x0007; break;</v>
      </c>
    </row>
    <row r="30" spans="2:35" ht="26.5" customHeight="1">
      <c r="B30" s="2">
        <v>8</v>
      </c>
      <c r="C30" s="2">
        <f t="shared" si="21"/>
        <v>0</v>
      </c>
      <c r="D30" s="2">
        <f t="shared" si="23"/>
        <v>8</v>
      </c>
      <c r="E30" s="2" t="str">
        <f t="shared" si="24"/>
        <v>）</v>
      </c>
      <c r="F30" s="2"/>
      <c r="G30" s="2"/>
      <c r="K30" t="str">
        <f t="shared" si="25"/>
        <v>case L'）': bmcode = 0x0008; break;</v>
      </c>
      <c r="R30" t="str">
        <f t="shared" si="22"/>
        <v>case L')': bmcode = 0x0008; break;</v>
      </c>
    </row>
    <row r="31" spans="2:35" ht="26.5" customHeight="1">
      <c r="B31" s="2">
        <v>9</v>
      </c>
      <c r="C31" s="2">
        <f t="shared" ref="C31:C94" si="26">ROUNDDOWN(B31/16,0)</f>
        <v>0</v>
      </c>
      <c r="D31" s="2">
        <f t="shared" si="23"/>
        <v>9</v>
      </c>
      <c r="E31" s="2" t="str">
        <f t="shared" si="24"/>
        <v>＝</v>
      </c>
      <c r="F31" s="2"/>
      <c r="G31" s="2"/>
      <c r="K31" t="str">
        <f t="shared" si="25"/>
        <v>case L'＝': bmcode = 0x0009; break;</v>
      </c>
      <c r="R31" t="str">
        <f t="shared" si="22"/>
        <v>case L'=': bmcode = 0x0009; break;</v>
      </c>
    </row>
    <row r="32" spans="2:35" ht="26.5" customHeight="1">
      <c r="B32" s="2">
        <v>10</v>
      </c>
      <c r="C32" s="2">
        <f t="shared" si="26"/>
        <v>0</v>
      </c>
      <c r="D32" s="2">
        <f t="shared" si="23"/>
        <v>10</v>
      </c>
      <c r="E32" s="2" t="str">
        <f t="shared" si="24"/>
        <v>－</v>
      </c>
      <c r="F32" s="2"/>
      <c r="G32" s="2"/>
      <c r="K32" t="str">
        <f t="shared" si="25"/>
        <v>case L'－': bmcode = 0x000A; break;</v>
      </c>
      <c r="R32" t="str">
        <f t="shared" ref="R32:R95" si="27">"case "&amp;"L'"&amp;ASC(E32)&amp;"'"&amp;": "&amp;"bmcode = 0x"&amp;RIGHT("0000"&amp;DEC2HEX(C32*16+D32),4)&amp;"; break;"</f>
        <v>case L'-': bmcode = 0x000A; break;</v>
      </c>
    </row>
    <row r="33" spans="2:18" ht="26.5" customHeight="1">
      <c r="B33" s="2">
        <v>11</v>
      </c>
      <c r="C33" s="2">
        <f t="shared" si="26"/>
        <v>0</v>
      </c>
      <c r="D33" s="2">
        <f t="shared" si="23"/>
        <v>11</v>
      </c>
      <c r="E33" s="2" t="str">
        <f t="shared" si="24"/>
        <v>￥</v>
      </c>
      <c r="F33" s="2"/>
      <c r="G33" s="2"/>
      <c r="K33" t="str">
        <f t="shared" si="25"/>
        <v>case L'￥': bmcode = 0x000B; break;</v>
      </c>
      <c r="R33" t="str">
        <f t="shared" si="27"/>
        <v>case L'\': bmcode = 0x000B; break;</v>
      </c>
    </row>
    <row r="34" spans="2:18" ht="26.5" customHeight="1">
      <c r="B34" s="2">
        <v>12</v>
      </c>
      <c r="C34" s="2">
        <f t="shared" si="26"/>
        <v>0</v>
      </c>
      <c r="D34" s="2">
        <f t="shared" si="23"/>
        <v>12</v>
      </c>
      <c r="E34" s="2" t="str">
        <f t="shared" si="24"/>
        <v>＋</v>
      </c>
      <c r="F34" s="2"/>
      <c r="G34" s="2"/>
      <c r="K34" t="str">
        <f t="shared" si="25"/>
        <v>case L'＋': bmcode = 0x000C; break;</v>
      </c>
      <c r="R34" t="str">
        <f t="shared" si="27"/>
        <v>case L'+': bmcode = 0x000C; break;</v>
      </c>
    </row>
    <row r="35" spans="2:18" ht="26.5" customHeight="1">
      <c r="B35" s="2">
        <v>13</v>
      </c>
      <c r="C35" s="2">
        <f t="shared" si="26"/>
        <v>0</v>
      </c>
      <c r="D35" s="2">
        <f t="shared" si="23"/>
        <v>13</v>
      </c>
      <c r="E35" s="2" t="str">
        <f t="shared" si="24"/>
        <v>＊</v>
      </c>
      <c r="F35" s="2"/>
      <c r="G35" s="2"/>
      <c r="K35" t="str">
        <f t="shared" si="25"/>
        <v>case L'＊': bmcode = 0x000D; break;</v>
      </c>
      <c r="R35" t="str">
        <f t="shared" si="27"/>
        <v>case L'*': bmcode = 0x000D; break;</v>
      </c>
    </row>
    <row r="36" spans="2:18" ht="26.5" customHeight="1">
      <c r="B36" s="2">
        <v>14</v>
      </c>
      <c r="C36" s="2">
        <f t="shared" si="26"/>
        <v>0</v>
      </c>
      <c r="D36" s="2">
        <f t="shared" si="23"/>
        <v>14</v>
      </c>
      <c r="E36" s="2" t="str">
        <f t="shared" si="24"/>
        <v>？</v>
      </c>
      <c r="F36" s="2"/>
      <c r="G36" s="2"/>
      <c r="K36" t="str">
        <f t="shared" si="25"/>
        <v>case L'？': bmcode = 0x000E; break;</v>
      </c>
      <c r="R36" t="str">
        <f t="shared" si="27"/>
        <v>case L'?': bmcode = 0x000E; break;</v>
      </c>
    </row>
    <row r="37" spans="2:18" ht="26.5" customHeight="1">
      <c r="B37" s="2">
        <v>15</v>
      </c>
      <c r="C37" s="2">
        <f t="shared" si="26"/>
        <v>0</v>
      </c>
      <c r="D37" s="2">
        <f t="shared" si="23"/>
        <v>15</v>
      </c>
      <c r="E37" s="2" t="str">
        <f t="shared" si="24"/>
        <v>／</v>
      </c>
      <c r="F37" s="2"/>
      <c r="G37" s="2"/>
      <c r="K37" t="str">
        <f t="shared" si="25"/>
        <v>case L'／': bmcode = 0x000F; break;</v>
      </c>
      <c r="R37" t="str">
        <f t="shared" si="27"/>
        <v>case L'/': bmcode = 0x000F; break;</v>
      </c>
    </row>
    <row r="38" spans="2:18" ht="26.5" customHeight="1">
      <c r="B38" s="2">
        <v>16</v>
      </c>
      <c r="C38" s="2">
        <f t="shared" si="26"/>
        <v>1</v>
      </c>
      <c r="D38" s="2">
        <f t="shared" si="23"/>
        <v>0</v>
      </c>
      <c r="E38" s="2" t="str">
        <f t="shared" si="24"/>
        <v>０</v>
      </c>
      <c r="F38" s="2"/>
      <c r="G38" s="2"/>
      <c r="K38" t="str">
        <f t="shared" si="25"/>
        <v>case L'０': bmcode = 0x0010; break;</v>
      </c>
      <c r="R38" t="str">
        <f t="shared" si="27"/>
        <v>case L'0': bmcode = 0x0010; break;</v>
      </c>
    </row>
    <row r="39" spans="2:18" ht="26.5" customHeight="1">
      <c r="B39" s="2">
        <v>17</v>
      </c>
      <c r="C39" s="2">
        <f t="shared" si="26"/>
        <v>1</v>
      </c>
      <c r="D39" s="2">
        <f t="shared" si="23"/>
        <v>1</v>
      </c>
      <c r="E39" s="2" t="str">
        <f t="shared" si="24"/>
        <v>１</v>
      </c>
      <c r="F39" s="2"/>
      <c r="G39" s="2"/>
      <c r="K39" t="str">
        <f t="shared" si="25"/>
        <v>case L'１': bmcode = 0x0011; break;</v>
      </c>
      <c r="R39" t="str">
        <f t="shared" si="27"/>
        <v>case L'1': bmcode = 0x0011; break;</v>
      </c>
    </row>
    <row r="40" spans="2:18" ht="26.5" customHeight="1">
      <c r="B40" s="2">
        <v>18</v>
      </c>
      <c r="C40" s="2">
        <f t="shared" si="26"/>
        <v>1</v>
      </c>
      <c r="D40" s="2">
        <f t="shared" si="23"/>
        <v>2</v>
      </c>
      <c r="E40" s="2" t="str">
        <f t="shared" si="24"/>
        <v>２</v>
      </c>
      <c r="F40" s="2"/>
      <c r="G40" s="2"/>
      <c r="K40" t="str">
        <f t="shared" si="25"/>
        <v>case L'２': bmcode = 0x0012; break;</v>
      </c>
      <c r="R40" t="str">
        <f t="shared" si="27"/>
        <v>case L'2': bmcode = 0x0012; break;</v>
      </c>
    </row>
    <row r="41" spans="2:18" ht="26.5" customHeight="1">
      <c r="B41" s="2">
        <v>19</v>
      </c>
      <c r="C41" s="2">
        <f t="shared" si="26"/>
        <v>1</v>
      </c>
      <c r="D41" s="2">
        <f t="shared" si="23"/>
        <v>3</v>
      </c>
      <c r="E41" s="2" t="str">
        <f t="shared" si="24"/>
        <v>３</v>
      </c>
      <c r="F41" s="2"/>
      <c r="G41" s="2"/>
      <c r="K41" t="str">
        <f t="shared" si="25"/>
        <v>case L'３': bmcode = 0x0013; break;</v>
      </c>
      <c r="R41" t="str">
        <f t="shared" si="27"/>
        <v>case L'3': bmcode = 0x0013; break;</v>
      </c>
    </row>
    <row r="42" spans="2:18" ht="26.5" customHeight="1">
      <c r="B42" s="2">
        <v>20</v>
      </c>
      <c r="C42" s="2">
        <f t="shared" si="26"/>
        <v>1</v>
      </c>
      <c r="D42" s="2">
        <f t="shared" si="23"/>
        <v>4</v>
      </c>
      <c r="E42" s="2" t="str">
        <f t="shared" si="24"/>
        <v>４</v>
      </c>
      <c r="F42" s="2"/>
      <c r="G42" s="2"/>
      <c r="K42" t="str">
        <f t="shared" si="25"/>
        <v>case L'４': bmcode = 0x0014; break;</v>
      </c>
      <c r="R42" t="str">
        <f t="shared" si="27"/>
        <v>case L'4': bmcode = 0x0014; break;</v>
      </c>
    </row>
    <row r="43" spans="2:18" ht="26.5" customHeight="1">
      <c r="B43" s="2">
        <v>21</v>
      </c>
      <c r="C43" s="2">
        <f t="shared" si="26"/>
        <v>1</v>
      </c>
      <c r="D43" s="2">
        <f t="shared" si="23"/>
        <v>5</v>
      </c>
      <c r="E43" s="2" t="str">
        <f t="shared" si="24"/>
        <v>５</v>
      </c>
      <c r="F43" s="2"/>
      <c r="G43" s="2"/>
      <c r="K43" t="str">
        <f t="shared" si="25"/>
        <v>case L'５': bmcode = 0x0015; break;</v>
      </c>
      <c r="R43" t="str">
        <f t="shared" si="27"/>
        <v>case L'5': bmcode = 0x0015; break;</v>
      </c>
    </row>
    <row r="44" spans="2:18" ht="26.5" customHeight="1">
      <c r="B44" s="2">
        <v>22</v>
      </c>
      <c r="C44" s="2">
        <f t="shared" si="26"/>
        <v>1</v>
      </c>
      <c r="D44" s="2">
        <f t="shared" si="23"/>
        <v>6</v>
      </c>
      <c r="E44" s="2" t="str">
        <f t="shared" si="24"/>
        <v>６</v>
      </c>
      <c r="F44" s="2"/>
      <c r="G44" s="2"/>
      <c r="K44" t="str">
        <f t="shared" si="25"/>
        <v>case L'６': bmcode = 0x0016; break;</v>
      </c>
      <c r="R44" t="str">
        <f t="shared" si="27"/>
        <v>case L'6': bmcode = 0x0016; break;</v>
      </c>
    </row>
    <row r="45" spans="2:18" ht="26.5" customHeight="1">
      <c r="B45" s="2">
        <v>23</v>
      </c>
      <c r="C45" s="2">
        <f t="shared" si="26"/>
        <v>1</v>
      </c>
      <c r="D45" s="2">
        <f t="shared" si="23"/>
        <v>7</v>
      </c>
      <c r="E45" s="2" t="str">
        <f t="shared" si="24"/>
        <v>７</v>
      </c>
      <c r="F45" s="2"/>
      <c r="G45" s="2"/>
      <c r="K45" t="str">
        <f t="shared" si="25"/>
        <v>case L'７': bmcode = 0x0017; break;</v>
      </c>
      <c r="R45" t="str">
        <f t="shared" si="27"/>
        <v>case L'7': bmcode = 0x0017; break;</v>
      </c>
    </row>
    <row r="46" spans="2:18" ht="26.5" customHeight="1">
      <c r="B46" s="2">
        <v>24</v>
      </c>
      <c r="C46" s="2">
        <f t="shared" si="26"/>
        <v>1</v>
      </c>
      <c r="D46" s="2">
        <f t="shared" si="23"/>
        <v>8</v>
      </c>
      <c r="E46" s="2" t="str">
        <f t="shared" si="24"/>
        <v>８</v>
      </c>
      <c r="F46" s="2"/>
      <c r="G46" s="2"/>
      <c r="K46" t="str">
        <f t="shared" si="25"/>
        <v>case L'８': bmcode = 0x0018; break;</v>
      </c>
      <c r="R46" t="str">
        <f t="shared" si="27"/>
        <v>case L'8': bmcode = 0x0018; break;</v>
      </c>
    </row>
    <row r="47" spans="2:18" ht="26.5" customHeight="1">
      <c r="B47" s="2">
        <v>25</v>
      </c>
      <c r="C47" s="2">
        <f t="shared" si="26"/>
        <v>1</v>
      </c>
      <c r="D47" s="2">
        <f t="shared" si="23"/>
        <v>9</v>
      </c>
      <c r="E47" s="2" t="str">
        <f t="shared" si="24"/>
        <v>９</v>
      </c>
      <c r="F47" s="2"/>
      <c r="G47" s="2"/>
      <c r="K47" t="str">
        <f t="shared" si="25"/>
        <v>case L'９': bmcode = 0x0019; break;</v>
      </c>
      <c r="R47" t="str">
        <f t="shared" si="27"/>
        <v>case L'9': bmcode = 0x0019; break;</v>
      </c>
    </row>
    <row r="48" spans="2:18" ht="26.5" customHeight="1">
      <c r="B48" s="2">
        <v>26</v>
      </c>
      <c r="C48" s="2">
        <f t="shared" si="26"/>
        <v>1</v>
      </c>
      <c r="D48" s="2">
        <f t="shared" si="23"/>
        <v>10</v>
      </c>
      <c r="E48" s="2" t="str">
        <f t="shared" si="24"/>
        <v>ａ</v>
      </c>
      <c r="F48" s="2"/>
      <c r="G48" s="2"/>
      <c r="K48" t="str">
        <f t="shared" si="25"/>
        <v>case L'ａ': bmcode = 0x001A; break;</v>
      </c>
      <c r="R48" t="str">
        <f t="shared" si="27"/>
        <v>case L'a': bmcode = 0x001A; break;</v>
      </c>
    </row>
    <row r="49" spans="2:18" ht="26.5" customHeight="1">
      <c r="B49" s="2">
        <v>27</v>
      </c>
      <c r="C49" s="2">
        <f t="shared" si="26"/>
        <v>1</v>
      </c>
      <c r="D49" s="2">
        <f t="shared" si="23"/>
        <v>11</v>
      </c>
      <c r="E49" s="2" t="str">
        <f t="shared" si="24"/>
        <v>ｂ</v>
      </c>
      <c r="F49" s="2"/>
      <c r="G49" s="2"/>
      <c r="K49" t="str">
        <f t="shared" si="25"/>
        <v>case L'ｂ': bmcode = 0x001B; break;</v>
      </c>
      <c r="R49" t="str">
        <f t="shared" si="27"/>
        <v>case L'b': bmcode = 0x001B; break;</v>
      </c>
    </row>
    <row r="50" spans="2:18" ht="26.5" customHeight="1">
      <c r="B50" s="2">
        <v>28</v>
      </c>
      <c r="C50" s="2">
        <f t="shared" si="26"/>
        <v>1</v>
      </c>
      <c r="D50" s="2">
        <f t="shared" si="23"/>
        <v>12</v>
      </c>
      <c r="E50" s="2" t="str">
        <f t="shared" si="24"/>
        <v>ｃ</v>
      </c>
      <c r="F50" s="2"/>
      <c r="G50" s="2"/>
      <c r="K50" t="str">
        <f t="shared" si="25"/>
        <v>case L'ｃ': bmcode = 0x001C; break;</v>
      </c>
      <c r="R50" t="str">
        <f t="shared" si="27"/>
        <v>case L'c': bmcode = 0x001C; break;</v>
      </c>
    </row>
    <row r="51" spans="2:18" ht="26.5" customHeight="1">
      <c r="B51" s="2">
        <v>29</v>
      </c>
      <c r="C51" s="2">
        <f t="shared" si="26"/>
        <v>1</v>
      </c>
      <c r="D51" s="2">
        <f t="shared" si="23"/>
        <v>13</v>
      </c>
      <c r="E51" s="2" t="str">
        <f t="shared" si="24"/>
        <v>ｄ</v>
      </c>
      <c r="F51" s="2"/>
      <c r="G51" s="2"/>
      <c r="K51" t="str">
        <f t="shared" si="25"/>
        <v>case L'ｄ': bmcode = 0x001D; break;</v>
      </c>
      <c r="R51" t="str">
        <f t="shared" si="27"/>
        <v>case L'd': bmcode = 0x001D; break;</v>
      </c>
    </row>
    <row r="52" spans="2:18" ht="26.5" customHeight="1">
      <c r="B52" s="2">
        <v>30</v>
      </c>
      <c r="C52" s="2">
        <f t="shared" si="26"/>
        <v>1</v>
      </c>
      <c r="D52" s="2">
        <f t="shared" si="23"/>
        <v>14</v>
      </c>
      <c r="E52" s="2" t="str">
        <f t="shared" si="24"/>
        <v>ｅ</v>
      </c>
      <c r="F52" s="2"/>
      <c r="G52" s="2"/>
      <c r="K52" t="str">
        <f t="shared" si="25"/>
        <v>case L'ｅ': bmcode = 0x001E; break;</v>
      </c>
      <c r="R52" t="str">
        <f t="shared" si="27"/>
        <v>case L'e': bmcode = 0x001E; break;</v>
      </c>
    </row>
    <row r="53" spans="2:18" ht="26.5" customHeight="1">
      <c r="B53" s="2">
        <v>31</v>
      </c>
      <c r="C53" s="2">
        <f t="shared" si="26"/>
        <v>1</v>
      </c>
      <c r="D53" s="2">
        <f t="shared" si="23"/>
        <v>15</v>
      </c>
      <c r="E53" s="2" t="str">
        <f t="shared" si="24"/>
        <v>ｆ</v>
      </c>
      <c r="F53" s="2"/>
      <c r="G53" s="2"/>
      <c r="K53" t="str">
        <f t="shared" si="25"/>
        <v>case L'ｆ': bmcode = 0x001F; break;</v>
      </c>
      <c r="R53" t="str">
        <f t="shared" si="27"/>
        <v>case L'f': bmcode = 0x001F; break;</v>
      </c>
    </row>
    <row r="54" spans="2:18" ht="26.5" customHeight="1">
      <c r="B54" s="2">
        <v>32</v>
      </c>
      <c r="C54" s="2">
        <f t="shared" si="26"/>
        <v>2</v>
      </c>
      <c r="D54" s="2">
        <f t="shared" si="23"/>
        <v>0</v>
      </c>
      <c r="E54" s="2" t="str">
        <f t="shared" si="24"/>
        <v>ｇ</v>
      </c>
      <c r="F54" s="2"/>
      <c r="G54" s="2"/>
      <c r="K54" t="str">
        <f t="shared" si="25"/>
        <v>case L'ｇ': bmcode = 0x0020; break;</v>
      </c>
      <c r="R54" t="str">
        <f t="shared" si="27"/>
        <v>case L'g': bmcode = 0x0020; break;</v>
      </c>
    </row>
    <row r="55" spans="2:18" ht="26.5" customHeight="1">
      <c r="B55" s="2">
        <v>33</v>
      </c>
      <c r="C55" s="2">
        <f t="shared" si="26"/>
        <v>2</v>
      </c>
      <c r="D55" s="2">
        <f t="shared" si="23"/>
        <v>1</v>
      </c>
      <c r="E55" s="2" t="str">
        <f t="shared" si="24"/>
        <v>ｈ</v>
      </c>
      <c r="F55" s="2"/>
      <c r="G55" s="2"/>
      <c r="K55" t="str">
        <f t="shared" si="25"/>
        <v>case L'ｈ': bmcode = 0x0021; break;</v>
      </c>
      <c r="R55" t="str">
        <f t="shared" si="27"/>
        <v>case L'h': bmcode = 0x0021; break;</v>
      </c>
    </row>
    <row r="56" spans="2:18" ht="26.5" customHeight="1">
      <c r="B56" s="2">
        <v>34</v>
      </c>
      <c r="C56" s="2">
        <f t="shared" si="26"/>
        <v>2</v>
      </c>
      <c r="D56" s="2">
        <f t="shared" si="23"/>
        <v>2</v>
      </c>
      <c r="E56" s="2" t="str">
        <f t="shared" si="24"/>
        <v>ｉ</v>
      </c>
      <c r="F56" s="2"/>
      <c r="G56" s="2"/>
      <c r="K56" t="str">
        <f t="shared" si="25"/>
        <v>case L'ｉ': bmcode = 0x0022; break;</v>
      </c>
      <c r="R56" t="str">
        <f t="shared" si="27"/>
        <v>case L'i': bmcode = 0x0022; break;</v>
      </c>
    </row>
    <row r="57" spans="2:18" ht="26.5" customHeight="1">
      <c r="B57" s="2">
        <v>35</v>
      </c>
      <c r="C57" s="2">
        <f t="shared" si="26"/>
        <v>2</v>
      </c>
      <c r="D57" s="2">
        <f t="shared" si="23"/>
        <v>3</v>
      </c>
      <c r="E57" s="2" t="str">
        <f t="shared" si="24"/>
        <v>ｊ</v>
      </c>
      <c r="F57" s="2"/>
      <c r="G57" s="2"/>
      <c r="K57" t="str">
        <f t="shared" si="25"/>
        <v>case L'ｊ': bmcode = 0x0023; break;</v>
      </c>
      <c r="R57" t="str">
        <f t="shared" si="27"/>
        <v>case L'j': bmcode = 0x0023; break;</v>
      </c>
    </row>
    <row r="58" spans="2:18" ht="26.5" customHeight="1">
      <c r="B58" s="2">
        <v>36</v>
      </c>
      <c r="C58" s="2">
        <f t="shared" si="26"/>
        <v>2</v>
      </c>
      <c r="D58" s="2">
        <f t="shared" si="23"/>
        <v>4</v>
      </c>
      <c r="E58" s="2" t="str">
        <f t="shared" si="24"/>
        <v>ｋ</v>
      </c>
      <c r="F58" s="2"/>
      <c r="G58" s="2"/>
      <c r="K58" t="str">
        <f t="shared" si="25"/>
        <v>case L'ｋ': bmcode = 0x0024; break;</v>
      </c>
      <c r="R58" t="str">
        <f t="shared" si="27"/>
        <v>case L'k': bmcode = 0x0024; break;</v>
      </c>
    </row>
    <row r="59" spans="2:18" ht="26.5" customHeight="1">
      <c r="B59" s="2">
        <v>37</v>
      </c>
      <c r="C59" s="2">
        <f t="shared" si="26"/>
        <v>2</v>
      </c>
      <c r="D59" s="2">
        <f t="shared" si="23"/>
        <v>5</v>
      </c>
      <c r="E59" s="2" t="str">
        <f t="shared" si="24"/>
        <v>ｌ</v>
      </c>
      <c r="F59" s="2"/>
      <c r="G59" s="2"/>
      <c r="K59" t="str">
        <f t="shared" si="25"/>
        <v>case L'ｌ': bmcode = 0x0025; break;</v>
      </c>
      <c r="R59" t="str">
        <f t="shared" si="27"/>
        <v>case L'l': bmcode = 0x0025; break;</v>
      </c>
    </row>
    <row r="60" spans="2:18" ht="26.5" customHeight="1">
      <c r="B60" s="2">
        <v>38</v>
      </c>
      <c r="C60" s="2">
        <f t="shared" si="26"/>
        <v>2</v>
      </c>
      <c r="D60" s="2">
        <f t="shared" si="23"/>
        <v>6</v>
      </c>
      <c r="E60" s="2" t="str">
        <f t="shared" si="24"/>
        <v>ｍ</v>
      </c>
      <c r="F60" s="2"/>
      <c r="G60" s="2"/>
      <c r="K60" t="str">
        <f t="shared" si="25"/>
        <v>case L'ｍ': bmcode = 0x0026; break;</v>
      </c>
      <c r="R60" t="str">
        <f t="shared" si="27"/>
        <v>case L'm': bmcode = 0x0026; break;</v>
      </c>
    </row>
    <row r="61" spans="2:18" ht="26.5" customHeight="1">
      <c r="B61" s="2">
        <v>39</v>
      </c>
      <c r="C61" s="2">
        <f t="shared" si="26"/>
        <v>2</v>
      </c>
      <c r="D61" s="2">
        <f t="shared" si="23"/>
        <v>7</v>
      </c>
      <c r="E61" s="2" t="str">
        <f t="shared" si="24"/>
        <v>ｎ</v>
      </c>
      <c r="F61" s="2"/>
      <c r="G61" s="2"/>
      <c r="K61" t="str">
        <f t="shared" si="25"/>
        <v>case L'ｎ': bmcode = 0x0027; break;</v>
      </c>
      <c r="R61" t="str">
        <f t="shared" si="27"/>
        <v>case L'n': bmcode = 0x0027; break;</v>
      </c>
    </row>
    <row r="62" spans="2:18" ht="26.5" customHeight="1">
      <c r="B62" s="2">
        <v>40</v>
      </c>
      <c r="C62" s="2">
        <f t="shared" si="26"/>
        <v>2</v>
      </c>
      <c r="D62" s="2">
        <f t="shared" si="23"/>
        <v>8</v>
      </c>
      <c r="E62" s="2" t="str">
        <f t="shared" si="24"/>
        <v>ｏ</v>
      </c>
      <c r="F62" s="2"/>
      <c r="G62" s="2"/>
      <c r="K62" t="str">
        <f t="shared" si="25"/>
        <v>case L'ｏ': bmcode = 0x0028; break;</v>
      </c>
      <c r="R62" t="str">
        <f t="shared" si="27"/>
        <v>case L'o': bmcode = 0x0028; break;</v>
      </c>
    </row>
    <row r="63" spans="2:18" ht="26.5" customHeight="1">
      <c r="B63" s="2">
        <v>41</v>
      </c>
      <c r="C63" s="2">
        <f t="shared" si="26"/>
        <v>2</v>
      </c>
      <c r="D63" s="2">
        <f t="shared" si="23"/>
        <v>9</v>
      </c>
      <c r="E63" s="2" t="str">
        <f t="shared" si="24"/>
        <v>ｐ</v>
      </c>
      <c r="F63" s="2"/>
      <c r="G63" s="2"/>
      <c r="K63" t="str">
        <f t="shared" si="25"/>
        <v>case L'ｐ': bmcode = 0x0029; break;</v>
      </c>
      <c r="R63" t="str">
        <f t="shared" si="27"/>
        <v>case L'p': bmcode = 0x0029; break;</v>
      </c>
    </row>
    <row r="64" spans="2:18" ht="26.5" customHeight="1">
      <c r="B64" s="2">
        <v>42</v>
      </c>
      <c r="C64" s="2">
        <f t="shared" si="26"/>
        <v>2</v>
      </c>
      <c r="D64" s="2">
        <f t="shared" si="23"/>
        <v>10</v>
      </c>
      <c r="E64" s="2" t="str">
        <f t="shared" si="24"/>
        <v>ｑ</v>
      </c>
      <c r="F64" s="2"/>
      <c r="G64" s="2"/>
      <c r="K64" t="str">
        <f t="shared" si="25"/>
        <v>case L'ｑ': bmcode = 0x002A; break;</v>
      </c>
      <c r="R64" t="str">
        <f t="shared" si="27"/>
        <v>case L'q': bmcode = 0x002A; break;</v>
      </c>
    </row>
    <row r="65" spans="2:18" ht="26.5" customHeight="1">
      <c r="B65" s="2">
        <v>43</v>
      </c>
      <c r="C65" s="2">
        <f t="shared" si="26"/>
        <v>2</v>
      </c>
      <c r="D65" s="2">
        <f t="shared" si="23"/>
        <v>11</v>
      </c>
      <c r="E65" s="2" t="str">
        <f t="shared" si="24"/>
        <v>ｒ</v>
      </c>
      <c r="F65" s="2"/>
      <c r="G65" s="2"/>
      <c r="K65" t="str">
        <f t="shared" si="25"/>
        <v>case L'ｒ': bmcode = 0x002B; break;</v>
      </c>
      <c r="R65" t="str">
        <f t="shared" si="27"/>
        <v>case L'r': bmcode = 0x002B; break;</v>
      </c>
    </row>
    <row r="66" spans="2:18" ht="26.5" customHeight="1">
      <c r="B66" s="2">
        <v>44</v>
      </c>
      <c r="C66" s="2">
        <f t="shared" si="26"/>
        <v>2</v>
      </c>
      <c r="D66" s="2">
        <f t="shared" si="23"/>
        <v>12</v>
      </c>
      <c r="E66" s="2" t="str">
        <f t="shared" si="24"/>
        <v>ｓ</v>
      </c>
      <c r="F66" s="2"/>
      <c r="G66" s="2"/>
      <c r="K66" t="str">
        <f t="shared" si="25"/>
        <v>case L'ｓ': bmcode = 0x002C; break;</v>
      </c>
      <c r="R66" t="str">
        <f t="shared" si="27"/>
        <v>case L's': bmcode = 0x002C; break;</v>
      </c>
    </row>
    <row r="67" spans="2:18" ht="26.5" customHeight="1">
      <c r="B67" s="2">
        <v>45</v>
      </c>
      <c r="C67" s="2">
        <f t="shared" si="26"/>
        <v>2</v>
      </c>
      <c r="D67" s="2">
        <f t="shared" si="23"/>
        <v>13</v>
      </c>
      <c r="E67" s="2" t="str">
        <f t="shared" si="24"/>
        <v>ｔ</v>
      </c>
      <c r="F67" s="2"/>
      <c r="G67" s="2"/>
      <c r="K67" t="str">
        <f t="shared" si="25"/>
        <v>case L'ｔ': bmcode = 0x002D; break;</v>
      </c>
      <c r="R67" t="str">
        <f t="shared" si="27"/>
        <v>case L't': bmcode = 0x002D; break;</v>
      </c>
    </row>
    <row r="68" spans="2:18" ht="26.5" customHeight="1">
      <c r="B68" s="2">
        <v>46</v>
      </c>
      <c r="C68" s="2">
        <f t="shared" si="26"/>
        <v>2</v>
      </c>
      <c r="D68" s="2">
        <f t="shared" si="23"/>
        <v>14</v>
      </c>
      <c r="E68" s="2" t="str">
        <f t="shared" si="24"/>
        <v>ｕ</v>
      </c>
      <c r="F68" s="2"/>
      <c r="G68" s="2"/>
      <c r="K68" t="str">
        <f t="shared" si="25"/>
        <v>case L'ｕ': bmcode = 0x002E; break;</v>
      </c>
      <c r="R68" t="str">
        <f t="shared" si="27"/>
        <v>case L'u': bmcode = 0x002E; break;</v>
      </c>
    </row>
    <row r="69" spans="2:18" ht="26.5" customHeight="1">
      <c r="B69" s="2">
        <v>47</v>
      </c>
      <c r="C69" s="2">
        <f t="shared" si="26"/>
        <v>2</v>
      </c>
      <c r="D69" s="2">
        <f t="shared" si="23"/>
        <v>15</v>
      </c>
      <c r="E69" s="2" t="str">
        <f t="shared" si="24"/>
        <v>ｖ</v>
      </c>
      <c r="F69" s="2"/>
      <c r="G69" s="2"/>
      <c r="K69" t="str">
        <f t="shared" si="25"/>
        <v>case L'ｖ': bmcode = 0x002F; break;</v>
      </c>
      <c r="R69" t="str">
        <f t="shared" si="27"/>
        <v>case L'v': bmcode = 0x002F; break;</v>
      </c>
    </row>
    <row r="70" spans="2:18" ht="26.5" customHeight="1">
      <c r="B70" s="2">
        <v>48</v>
      </c>
      <c r="C70" s="2">
        <f t="shared" si="26"/>
        <v>3</v>
      </c>
      <c r="D70" s="2">
        <f t="shared" si="23"/>
        <v>0</v>
      </c>
      <c r="E70" s="2" t="str">
        <f t="shared" si="24"/>
        <v>ｗ</v>
      </c>
      <c r="F70" s="2"/>
      <c r="G70" s="2"/>
      <c r="K70" t="str">
        <f t="shared" si="25"/>
        <v>case L'ｗ': bmcode = 0x0030; break;</v>
      </c>
      <c r="R70" t="str">
        <f t="shared" si="27"/>
        <v>case L'w': bmcode = 0x0030; break;</v>
      </c>
    </row>
    <row r="71" spans="2:18" ht="26.5" customHeight="1">
      <c r="B71" s="2">
        <v>49</v>
      </c>
      <c r="C71" s="2">
        <f t="shared" si="26"/>
        <v>3</v>
      </c>
      <c r="D71" s="2">
        <f t="shared" si="23"/>
        <v>1</v>
      </c>
      <c r="E71" s="2" t="str">
        <f t="shared" si="24"/>
        <v>ｘ</v>
      </c>
      <c r="F71" s="2"/>
      <c r="G71" s="2"/>
      <c r="K71" t="str">
        <f t="shared" si="25"/>
        <v>case L'ｘ': bmcode = 0x0031; break;</v>
      </c>
      <c r="R71" t="str">
        <f t="shared" si="27"/>
        <v>case L'x': bmcode = 0x0031; break;</v>
      </c>
    </row>
    <row r="72" spans="2:18" ht="26.5" customHeight="1">
      <c r="B72" s="2">
        <v>50</v>
      </c>
      <c r="C72" s="2">
        <f t="shared" si="26"/>
        <v>3</v>
      </c>
      <c r="D72" s="2">
        <f t="shared" si="23"/>
        <v>2</v>
      </c>
      <c r="E72" s="2" t="str">
        <f t="shared" si="24"/>
        <v>ｙ</v>
      </c>
      <c r="F72" s="2"/>
      <c r="G72" s="2"/>
      <c r="K72" t="str">
        <f t="shared" si="25"/>
        <v>case L'ｙ': bmcode = 0x0032; break;</v>
      </c>
      <c r="R72" t="str">
        <f t="shared" si="27"/>
        <v>case L'y': bmcode = 0x0032; break;</v>
      </c>
    </row>
    <row r="73" spans="2:18" ht="26.5" customHeight="1">
      <c r="B73" s="2">
        <v>51</v>
      </c>
      <c r="C73" s="2">
        <f t="shared" si="26"/>
        <v>3</v>
      </c>
      <c r="D73" s="2">
        <f t="shared" si="23"/>
        <v>3</v>
      </c>
      <c r="E73" s="2" t="str">
        <f t="shared" si="24"/>
        <v>ｚ</v>
      </c>
      <c r="F73" s="2"/>
      <c r="G73" s="2"/>
      <c r="K73" t="str">
        <f t="shared" si="25"/>
        <v>case L'ｚ': bmcode = 0x0033; break;</v>
      </c>
      <c r="R73" t="str">
        <f t="shared" si="27"/>
        <v>case L'z': bmcode = 0x0033; break;</v>
      </c>
    </row>
    <row r="74" spans="2:18" ht="26.5" customHeight="1">
      <c r="B74" s="2">
        <v>52</v>
      </c>
      <c r="C74" s="2">
        <f t="shared" si="26"/>
        <v>3</v>
      </c>
      <c r="D74" s="2">
        <f t="shared" si="23"/>
        <v>4</v>
      </c>
      <c r="E74" s="2" t="str">
        <f t="shared" si="24"/>
        <v>Ａ</v>
      </c>
      <c r="F74" s="2"/>
      <c r="G74" s="2"/>
      <c r="K74" t="str">
        <f t="shared" si="25"/>
        <v>case L'Ａ': bmcode = 0x0034; break;</v>
      </c>
      <c r="R74" t="str">
        <f t="shared" si="27"/>
        <v>case L'A': bmcode = 0x0034; break;</v>
      </c>
    </row>
    <row r="75" spans="2:18" ht="26.5" customHeight="1">
      <c r="B75" s="2">
        <v>53</v>
      </c>
      <c r="C75" s="2">
        <f t="shared" si="26"/>
        <v>3</v>
      </c>
      <c r="D75" s="2">
        <f t="shared" si="23"/>
        <v>5</v>
      </c>
      <c r="E75" s="2" t="str">
        <f t="shared" si="24"/>
        <v>Ｂ</v>
      </c>
      <c r="F75" s="2"/>
      <c r="G75" s="2"/>
      <c r="K75" t="str">
        <f t="shared" si="25"/>
        <v>case L'Ｂ': bmcode = 0x0035; break;</v>
      </c>
      <c r="R75" t="str">
        <f t="shared" si="27"/>
        <v>case L'B': bmcode = 0x0035; break;</v>
      </c>
    </row>
    <row r="76" spans="2:18" ht="26.5" customHeight="1">
      <c r="B76" s="2">
        <v>54</v>
      </c>
      <c r="C76" s="2">
        <f t="shared" si="26"/>
        <v>3</v>
      </c>
      <c r="D76" s="2">
        <f t="shared" si="23"/>
        <v>6</v>
      </c>
      <c r="E76" s="2" t="str">
        <f t="shared" si="24"/>
        <v>Ｃ</v>
      </c>
      <c r="F76" s="2"/>
      <c r="G76" s="2"/>
      <c r="K76" t="str">
        <f t="shared" si="25"/>
        <v>case L'Ｃ': bmcode = 0x0036; break;</v>
      </c>
      <c r="R76" t="str">
        <f t="shared" si="27"/>
        <v>case L'C': bmcode = 0x0036; break;</v>
      </c>
    </row>
    <row r="77" spans="2:18" ht="26.5" customHeight="1">
      <c r="B77" s="2">
        <v>55</v>
      </c>
      <c r="C77" s="2">
        <f t="shared" si="26"/>
        <v>3</v>
      </c>
      <c r="D77" s="2">
        <f t="shared" si="23"/>
        <v>7</v>
      </c>
      <c r="E77" s="2" t="str">
        <f t="shared" si="24"/>
        <v>Ｄ</v>
      </c>
      <c r="F77" s="2"/>
      <c r="G77" s="2"/>
      <c r="K77" t="str">
        <f t="shared" si="25"/>
        <v>case L'Ｄ': bmcode = 0x0037; break;</v>
      </c>
      <c r="R77" t="str">
        <f t="shared" si="27"/>
        <v>case L'D': bmcode = 0x0037; break;</v>
      </c>
    </row>
    <row r="78" spans="2:18" ht="26.5" customHeight="1">
      <c r="B78" s="2">
        <v>56</v>
      </c>
      <c r="C78" s="2">
        <f t="shared" si="26"/>
        <v>3</v>
      </c>
      <c r="D78" s="2">
        <f t="shared" si="23"/>
        <v>8</v>
      </c>
      <c r="E78" s="2" t="str">
        <f t="shared" si="24"/>
        <v>Ｅ</v>
      </c>
      <c r="F78" s="2"/>
      <c r="G78" s="2"/>
      <c r="K78" t="str">
        <f t="shared" si="25"/>
        <v>case L'Ｅ': bmcode = 0x0038; break;</v>
      </c>
      <c r="R78" t="str">
        <f t="shared" si="27"/>
        <v>case L'E': bmcode = 0x0038; break;</v>
      </c>
    </row>
    <row r="79" spans="2:18" ht="26.5" customHeight="1">
      <c r="B79" s="2">
        <v>57</v>
      </c>
      <c r="C79" s="2">
        <f t="shared" si="26"/>
        <v>3</v>
      </c>
      <c r="D79" s="2">
        <f t="shared" si="23"/>
        <v>9</v>
      </c>
      <c r="E79" s="2" t="str">
        <f t="shared" si="24"/>
        <v>Ｆ</v>
      </c>
      <c r="F79" s="2"/>
      <c r="G79" s="2"/>
      <c r="K79" t="str">
        <f t="shared" si="25"/>
        <v>case L'Ｆ': bmcode = 0x0039; break;</v>
      </c>
      <c r="R79" t="str">
        <f t="shared" si="27"/>
        <v>case L'F': bmcode = 0x0039; break;</v>
      </c>
    </row>
    <row r="80" spans="2:18" ht="26.5" customHeight="1">
      <c r="B80" s="2">
        <v>58</v>
      </c>
      <c r="C80" s="2">
        <f t="shared" si="26"/>
        <v>3</v>
      </c>
      <c r="D80" s="2">
        <f t="shared" si="23"/>
        <v>10</v>
      </c>
      <c r="E80" s="2" t="str">
        <f t="shared" si="24"/>
        <v>Ｇ</v>
      </c>
      <c r="F80" s="2"/>
      <c r="G80" s="2"/>
      <c r="K80" t="str">
        <f t="shared" si="25"/>
        <v>case L'Ｇ': bmcode = 0x003A; break;</v>
      </c>
      <c r="R80" t="str">
        <f t="shared" si="27"/>
        <v>case L'G': bmcode = 0x003A; break;</v>
      </c>
    </row>
    <row r="81" spans="2:18" ht="26.5" customHeight="1">
      <c r="B81" s="2">
        <v>59</v>
      </c>
      <c r="C81" s="2">
        <f t="shared" si="26"/>
        <v>3</v>
      </c>
      <c r="D81" s="2">
        <f t="shared" si="23"/>
        <v>11</v>
      </c>
      <c r="E81" s="2" t="str">
        <f t="shared" si="24"/>
        <v>Ｈ</v>
      </c>
      <c r="F81" s="2"/>
      <c r="G81" s="2"/>
      <c r="K81" t="str">
        <f t="shared" si="25"/>
        <v>case L'Ｈ': bmcode = 0x003B; break;</v>
      </c>
      <c r="R81" t="str">
        <f t="shared" si="27"/>
        <v>case L'H': bmcode = 0x003B; break;</v>
      </c>
    </row>
    <row r="82" spans="2:18" ht="26.5" customHeight="1">
      <c r="B82" s="2">
        <v>60</v>
      </c>
      <c r="C82" s="2">
        <f t="shared" si="26"/>
        <v>3</v>
      </c>
      <c r="D82" s="2">
        <f t="shared" si="23"/>
        <v>12</v>
      </c>
      <c r="E82" s="2" t="str">
        <f t="shared" si="24"/>
        <v>Ｉ</v>
      </c>
      <c r="F82" s="2"/>
      <c r="G82" s="2"/>
      <c r="K82" t="str">
        <f t="shared" si="25"/>
        <v>case L'Ｉ': bmcode = 0x003C; break;</v>
      </c>
      <c r="R82" t="str">
        <f t="shared" si="27"/>
        <v>case L'I': bmcode = 0x003C; break;</v>
      </c>
    </row>
    <row r="83" spans="2:18" ht="26.5" customHeight="1">
      <c r="B83" s="2">
        <v>61</v>
      </c>
      <c r="C83" s="2">
        <f t="shared" si="26"/>
        <v>3</v>
      </c>
      <c r="D83" s="2">
        <f t="shared" si="23"/>
        <v>13</v>
      </c>
      <c r="E83" s="2" t="str">
        <f t="shared" si="24"/>
        <v>Ｊ</v>
      </c>
      <c r="F83" s="2"/>
      <c r="G83" s="2"/>
      <c r="K83" t="str">
        <f t="shared" si="25"/>
        <v>case L'Ｊ': bmcode = 0x003D; break;</v>
      </c>
      <c r="R83" t="str">
        <f t="shared" si="27"/>
        <v>case L'J': bmcode = 0x003D; break;</v>
      </c>
    </row>
    <row r="84" spans="2:18" ht="26.5" customHeight="1">
      <c r="B84" s="2">
        <v>62</v>
      </c>
      <c r="C84" s="2">
        <f t="shared" si="26"/>
        <v>3</v>
      </c>
      <c r="D84" s="2">
        <f t="shared" si="23"/>
        <v>14</v>
      </c>
      <c r="E84" s="2" t="str">
        <f t="shared" si="24"/>
        <v>Ｋ</v>
      </c>
      <c r="F84" s="2"/>
      <c r="G84" s="2"/>
      <c r="K84" t="str">
        <f t="shared" si="25"/>
        <v>case L'Ｋ': bmcode = 0x003E; break;</v>
      </c>
      <c r="R84" t="str">
        <f t="shared" si="27"/>
        <v>case L'K': bmcode = 0x003E; break;</v>
      </c>
    </row>
    <row r="85" spans="2:18" ht="26.5" customHeight="1">
      <c r="B85" s="2">
        <v>63</v>
      </c>
      <c r="C85" s="2">
        <f t="shared" si="26"/>
        <v>3</v>
      </c>
      <c r="D85" s="2">
        <f t="shared" si="23"/>
        <v>15</v>
      </c>
      <c r="E85" s="2" t="str">
        <f t="shared" si="24"/>
        <v>Ｌ</v>
      </c>
      <c r="F85" s="2"/>
      <c r="G85" s="2"/>
      <c r="K85" t="str">
        <f t="shared" si="25"/>
        <v>case L'Ｌ': bmcode = 0x003F; break;</v>
      </c>
      <c r="R85" t="str">
        <f t="shared" si="27"/>
        <v>case L'L': bmcode = 0x003F; break;</v>
      </c>
    </row>
    <row r="86" spans="2:18" ht="26.5" customHeight="1">
      <c r="B86" s="2">
        <v>64</v>
      </c>
      <c r="C86" s="2">
        <f t="shared" si="26"/>
        <v>4</v>
      </c>
      <c r="D86" s="2">
        <f t="shared" si="23"/>
        <v>0</v>
      </c>
      <c r="E86" s="2" t="str">
        <f t="shared" si="24"/>
        <v>Ｍ</v>
      </c>
      <c r="F86" s="2"/>
      <c r="G86" s="2"/>
      <c r="K86" t="str">
        <f t="shared" si="25"/>
        <v>case L'Ｍ': bmcode = 0x0040; break;</v>
      </c>
      <c r="R86" t="str">
        <f t="shared" si="27"/>
        <v>case L'M': bmcode = 0x0040; break;</v>
      </c>
    </row>
    <row r="87" spans="2:18" ht="26.5" customHeight="1">
      <c r="B87" s="2">
        <v>65</v>
      </c>
      <c r="C87" s="2">
        <f t="shared" si="26"/>
        <v>4</v>
      </c>
      <c r="D87" s="2">
        <f t="shared" ref="D87:D150" si="28">MOD(B87,16)</f>
        <v>1</v>
      </c>
      <c r="E87" s="2" t="str">
        <f t="shared" ref="E87:E150" si="29">IF(INDEX($C$3:$R$18,C87+1,D87+1)="","",INDEX($C$3:$R$18,C87+1,D87+1))</f>
        <v>Ｎ</v>
      </c>
      <c r="F87" s="2"/>
      <c r="G87" s="2"/>
      <c r="K87" t="str">
        <f t="shared" ref="K87:K150" si="30">"case "&amp;"L'"&amp;E87&amp;"'"&amp;": "&amp;"bmcode = 0x"&amp;RIGHT("0000"&amp;DEC2HEX(C87*16+D87),4)&amp;"; break;"</f>
        <v>case L'Ｎ': bmcode = 0x0041; break;</v>
      </c>
      <c r="R87" t="str">
        <f t="shared" si="27"/>
        <v>case L'N': bmcode = 0x0041; break;</v>
      </c>
    </row>
    <row r="88" spans="2:18" ht="26.5" customHeight="1">
      <c r="B88" s="2">
        <v>66</v>
      </c>
      <c r="C88" s="2">
        <f t="shared" si="26"/>
        <v>4</v>
      </c>
      <c r="D88" s="2">
        <f t="shared" si="28"/>
        <v>2</v>
      </c>
      <c r="E88" s="2" t="str">
        <f t="shared" si="29"/>
        <v>Ｏ</v>
      </c>
      <c r="F88" s="2"/>
      <c r="G88" s="2"/>
      <c r="K88" t="str">
        <f t="shared" si="30"/>
        <v>case L'Ｏ': bmcode = 0x0042; break;</v>
      </c>
      <c r="R88" t="str">
        <f t="shared" si="27"/>
        <v>case L'O': bmcode = 0x0042; break;</v>
      </c>
    </row>
    <row r="89" spans="2:18" ht="26.5" customHeight="1">
      <c r="B89" s="2">
        <v>67</v>
      </c>
      <c r="C89" s="2">
        <f t="shared" si="26"/>
        <v>4</v>
      </c>
      <c r="D89" s="2">
        <f t="shared" si="28"/>
        <v>3</v>
      </c>
      <c r="E89" s="2" t="str">
        <f t="shared" si="29"/>
        <v>Ｐ</v>
      </c>
      <c r="F89" s="2"/>
      <c r="G89" s="2"/>
      <c r="K89" t="str">
        <f t="shared" si="30"/>
        <v>case L'Ｐ': bmcode = 0x0043; break;</v>
      </c>
      <c r="R89" t="str">
        <f t="shared" si="27"/>
        <v>case L'P': bmcode = 0x0043; break;</v>
      </c>
    </row>
    <row r="90" spans="2:18" ht="26.5" customHeight="1">
      <c r="B90" s="2">
        <v>68</v>
      </c>
      <c r="C90" s="2">
        <f t="shared" si="26"/>
        <v>4</v>
      </c>
      <c r="D90" s="2">
        <f t="shared" si="28"/>
        <v>4</v>
      </c>
      <c r="E90" s="2" t="str">
        <f t="shared" si="29"/>
        <v>Ｑ</v>
      </c>
      <c r="F90" s="2"/>
      <c r="G90" s="2"/>
      <c r="K90" t="str">
        <f t="shared" si="30"/>
        <v>case L'Ｑ': bmcode = 0x0044; break;</v>
      </c>
      <c r="R90" t="str">
        <f t="shared" si="27"/>
        <v>case L'Q': bmcode = 0x0044; break;</v>
      </c>
    </row>
    <row r="91" spans="2:18" ht="26.5" customHeight="1">
      <c r="B91" s="2">
        <v>69</v>
      </c>
      <c r="C91" s="2">
        <f t="shared" si="26"/>
        <v>4</v>
      </c>
      <c r="D91" s="2">
        <f t="shared" si="28"/>
        <v>5</v>
      </c>
      <c r="E91" s="2" t="str">
        <f t="shared" si="29"/>
        <v>Ｒ</v>
      </c>
      <c r="F91" s="2"/>
      <c r="G91" s="2"/>
      <c r="K91" t="str">
        <f t="shared" si="30"/>
        <v>case L'Ｒ': bmcode = 0x0045; break;</v>
      </c>
      <c r="R91" t="str">
        <f t="shared" si="27"/>
        <v>case L'R': bmcode = 0x0045; break;</v>
      </c>
    </row>
    <row r="92" spans="2:18" ht="26.5" customHeight="1">
      <c r="B92" s="2">
        <v>70</v>
      </c>
      <c r="C92" s="2">
        <f t="shared" si="26"/>
        <v>4</v>
      </c>
      <c r="D92" s="2">
        <f t="shared" si="28"/>
        <v>6</v>
      </c>
      <c r="E92" s="2" t="str">
        <f t="shared" si="29"/>
        <v>Ｓ</v>
      </c>
      <c r="F92" s="2"/>
      <c r="G92" s="2"/>
      <c r="K92" t="str">
        <f t="shared" si="30"/>
        <v>case L'Ｓ': bmcode = 0x0046; break;</v>
      </c>
      <c r="R92" t="str">
        <f t="shared" si="27"/>
        <v>case L'S': bmcode = 0x0046; break;</v>
      </c>
    </row>
    <row r="93" spans="2:18" ht="26.5" customHeight="1">
      <c r="B93" s="2">
        <v>71</v>
      </c>
      <c r="C93" s="2">
        <f t="shared" si="26"/>
        <v>4</v>
      </c>
      <c r="D93" s="2">
        <f t="shared" si="28"/>
        <v>7</v>
      </c>
      <c r="E93" s="2" t="str">
        <f t="shared" si="29"/>
        <v>Ｔ</v>
      </c>
      <c r="F93" s="2"/>
      <c r="G93" s="2"/>
      <c r="K93" t="str">
        <f t="shared" si="30"/>
        <v>case L'Ｔ': bmcode = 0x0047; break;</v>
      </c>
      <c r="R93" t="str">
        <f t="shared" si="27"/>
        <v>case L'T': bmcode = 0x0047; break;</v>
      </c>
    </row>
    <row r="94" spans="2:18" ht="26.5" customHeight="1">
      <c r="B94" s="2">
        <v>72</v>
      </c>
      <c r="C94" s="2">
        <f t="shared" si="26"/>
        <v>4</v>
      </c>
      <c r="D94" s="2">
        <f t="shared" si="28"/>
        <v>8</v>
      </c>
      <c r="E94" s="2" t="str">
        <f t="shared" si="29"/>
        <v>Ｕ</v>
      </c>
      <c r="F94" s="2"/>
      <c r="G94" s="2"/>
      <c r="K94" t="str">
        <f t="shared" si="30"/>
        <v>case L'Ｕ': bmcode = 0x0048; break;</v>
      </c>
      <c r="R94" t="str">
        <f t="shared" si="27"/>
        <v>case L'U': bmcode = 0x0048; break;</v>
      </c>
    </row>
    <row r="95" spans="2:18" ht="26.5" customHeight="1">
      <c r="B95" s="2">
        <v>73</v>
      </c>
      <c r="C95" s="2">
        <f t="shared" ref="C95:C158" si="31">ROUNDDOWN(B95/16,0)</f>
        <v>4</v>
      </c>
      <c r="D95" s="2">
        <f t="shared" si="28"/>
        <v>9</v>
      </c>
      <c r="E95" s="2" t="str">
        <f t="shared" si="29"/>
        <v>Ｖ</v>
      </c>
      <c r="F95" s="2"/>
      <c r="G95" s="2"/>
      <c r="K95" t="str">
        <f t="shared" si="30"/>
        <v>case L'Ｖ': bmcode = 0x0049; break;</v>
      </c>
      <c r="R95" t="str">
        <f t="shared" si="27"/>
        <v>case L'V': bmcode = 0x0049; break;</v>
      </c>
    </row>
    <row r="96" spans="2:18" ht="26.5" customHeight="1">
      <c r="B96" s="2">
        <v>74</v>
      </c>
      <c r="C96" s="2">
        <f t="shared" si="31"/>
        <v>4</v>
      </c>
      <c r="D96" s="2">
        <f t="shared" si="28"/>
        <v>10</v>
      </c>
      <c r="E96" s="2" t="str">
        <f t="shared" si="29"/>
        <v>Ｗ</v>
      </c>
      <c r="F96" s="2"/>
      <c r="G96" s="2"/>
      <c r="K96" t="str">
        <f t="shared" si="30"/>
        <v>case L'Ｗ': bmcode = 0x004A; break;</v>
      </c>
      <c r="R96" t="str">
        <f t="shared" ref="R96:R116" si="32">"case "&amp;"L'"&amp;ASC(E96)&amp;"'"&amp;": "&amp;"bmcode = 0x"&amp;RIGHT("0000"&amp;DEC2HEX(C96*16+D96),4)&amp;"; break;"</f>
        <v>case L'W': bmcode = 0x004A; break;</v>
      </c>
    </row>
    <row r="97" spans="2:18" ht="26.5" customHeight="1">
      <c r="B97" s="2">
        <v>75</v>
      </c>
      <c r="C97" s="2">
        <f t="shared" si="31"/>
        <v>4</v>
      </c>
      <c r="D97" s="2">
        <f t="shared" si="28"/>
        <v>11</v>
      </c>
      <c r="E97" s="2" t="str">
        <f t="shared" si="29"/>
        <v>Ｘ</v>
      </c>
      <c r="F97" s="2"/>
      <c r="G97" s="2"/>
      <c r="K97" t="str">
        <f t="shared" si="30"/>
        <v>case L'Ｘ': bmcode = 0x004B; break;</v>
      </c>
      <c r="R97" t="str">
        <f t="shared" si="32"/>
        <v>case L'X': bmcode = 0x004B; break;</v>
      </c>
    </row>
    <row r="98" spans="2:18" ht="26.5" customHeight="1">
      <c r="B98" s="2">
        <v>76</v>
      </c>
      <c r="C98" s="2">
        <f t="shared" si="31"/>
        <v>4</v>
      </c>
      <c r="D98" s="2">
        <f t="shared" si="28"/>
        <v>12</v>
      </c>
      <c r="E98" s="2" t="str">
        <f t="shared" si="29"/>
        <v>Ｙ</v>
      </c>
      <c r="F98" s="2"/>
      <c r="G98" s="2"/>
      <c r="K98" t="str">
        <f t="shared" si="30"/>
        <v>case L'Ｙ': bmcode = 0x004C; break;</v>
      </c>
      <c r="R98" t="str">
        <f t="shared" si="32"/>
        <v>case L'Y': bmcode = 0x004C; break;</v>
      </c>
    </row>
    <row r="99" spans="2:18" ht="26.5" customHeight="1">
      <c r="B99" s="2">
        <v>77</v>
      </c>
      <c r="C99" s="2">
        <f t="shared" si="31"/>
        <v>4</v>
      </c>
      <c r="D99" s="2">
        <f t="shared" si="28"/>
        <v>13</v>
      </c>
      <c r="E99" s="2" t="str">
        <f t="shared" si="29"/>
        <v>Ｚ</v>
      </c>
      <c r="F99" s="2"/>
      <c r="G99" s="2"/>
      <c r="K99" t="str">
        <f t="shared" si="30"/>
        <v>case L'Ｚ': bmcode = 0x004D; break;</v>
      </c>
      <c r="R99" t="str">
        <f t="shared" si="32"/>
        <v>case L'Z': bmcode = 0x004D; break;</v>
      </c>
    </row>
    <row r="100" spans="2:18" ht="26.5" customHeight="1">
      <c r="B100" s="2">
        <v>78</v>
      </c>
      <c r="C100" s="2">
        <f t="shared" si="31"/>
        <v>4</v>
      </c>
      <c r="D100" s="2">
        <f t="shared" si="28"/>
        <v>14</v>
      </c>
      <c r="E100" s="2" t="str">
        <f t="shared" si="29"/>
        <v>［</v>
      </c>
      <c r="F100" s="2"/>
      <c r="G100" s="2"/>
      <c r="K100" t="str">
        <f t="shared" si="30"/>
        <v>case L'［': bmcode = 0x004E; break;</v>
      </c>
      <c r="R100" t="str">
        <f t="shared" si="32"/>
        <v>case L'[': bmcode = 0x004E; break;</v>
      </c>
    </row>
    <row r="101" spans="2:18" ht="26.5" customHeight="1">
      <c r="B101" s="2">
        <v>79</v>
      </c>
      <c r="C101" s="2">
        <f t="shared" si="31"/>
        <v>4</v>
      </c>
      <c r="D101" s="2">
        <f t="shared" si="28"/>
        <v>15</v>
      </c>
      <c r="E101" s="2" t="str">
        <f t="shared" si="29"/>
        <v>］</v>
      </c>
      <c r="F101" s="2"/>
      <c r="G101" s="2"/>
      <c r="K101" t="str">
        <f t="shared" si="30"/>
        <v>case L'］': bmcode = 0x004F; break;</v>
      </c>
      <c r="R101" t="str">
        <f t="shared" si="32"/>
        <v>case L']': bmcode = 0x004F; break;</v>
      </c>
    </row>
    <row r="102" spans="2:18" ht="26.5" customHeight="1">
      <c r="B102" s="2">
        <v>80</v>
      </c>
      <c r="C102" s="2">
        <f t="shared" si="31"/>
        <v>5</v>
      </c>
      <c r="D102" s="2">
        <f t="shared" si="28"/>
        <v>0</v>
      </c>
      <c r="E102" s="2" t="str">
        <f t="shared" si="29"/>
        <v>｛</v>
      </c>
      <c r="F102" s="2"/>
      <c r="G102" s="2"/>
      <c r="K102" t="str">
        <f t="shared" si="30"/>
        <v>case L'｛': bmcode = 0x0050; break;</v>
      </c>
      <c r="R102" t="str">
        <f t="shared" si="32"/>
        <v>case L'{': bmcode = 0x0050; break;</v>
      </c>
    </row>
    <row r="103" spans="2:18" ht="26.5" customHeight="1">
      <c r="B103" s="2">
        <v>81</v>
      </c>
      <c r="C103" s="2">
        <f t="shared" si="31"/>
        <v>5</v>
      </c>
      <c r="D103" s="2">
        <f t="shared" si="28"/>
        <v>1</v>
      </c>
      <c r="E103" s="2" t="str">
        <f t="shared" si="29"/>
        <v>｝</v>
      </c>
      <c r="F103" s="2"/>
      <c r="G103" s="2"/>
      <c r="K103" t="str">
        <f t="shared" si="30"/>
        <v>case L'｝': bmcode = 0x0051; break;</v>
      </c>
      <c r="R103" t="str">
        <f t="shared" si="32"/>
        <v>case L'}': bmcode = 0x0051; break;</v>
      </c>
    </row>
    <row r="104" spans="2:18" ht="26.5" customHeight="1">
      <c r="B104" s="2">
        <v>82</v>
      </c>
      <c r="C104" s="2">
        <f t="shared" si="31"/>
        <v>5</v>
      </c>
      <c r="D104" s="2">
        <f t="shared" si="28"/>
        <v>2</v>
      </c>
      <c r="E104" s="2" t="str">
        <f t="shared" si="29"/>
        <v>「</v>
      </c>
      <c r="F104" s="2"/>
      <c r="G104" s="2"/>
      <c r="K104" t="str">
        <f t="shared" si="30"/>
        <v>case L'「': bmcode = 0x0052; break;</v>
      </c>
    </row>
    <row r="105" spans="2:18" ht="26.5" customHeight="1">
      <c r="B105" s="2">
        <v>83</v>
      </c>
      <c r="C105" s="2">
        <f t="shared" si="31"/>
        <v>5</v>
      </c>
      <c r="D105" s="2">
        <f t="shared" si="28"/>
        <v>3</v>
      </c>
      <c r="E105" s="2" t="str">
        <f t="shared" si="29"/>
        <v>」</v>
      </c>
      <c r="F105" s="2"/>
      <c r="G105" s="2"/>
      <c r="K105" t="str">
        <f t="shared" si="30"/>
        <v>case L'」': bmcode = 0x0053; break;</v>
      </c>
    </row>
    <row r="106" spans="2:18" ht="26.5" customHeight="1">
      <c r="B106" s="2">
        <v>84</v>
      </c>
      <c r="C106" s="2">
        <f t="shared" si="31"/>
        <v>5</v>
      </c>
      <c r="D106" s="2">
        <f t="shared" si="28"/>
        <v>4</v>
      </c>
      <c r="E106" s="2" t="str">
        <f t="shared" si="29"/>
        <v>＜</v>
      </c>
      <c r="F106" s="2"/>
      <c r="G106" s="2"/>
      <c r="K106" t="str">
        <f t="shared" si="30"/>
        <v>case L'＜': bmcode = 0x0054; break;</v>
      </c>
      <c r="R106" t="str">
        <f t="shared" si="32"/>
        <v>case L'&lt;': bmcode = 0x0054; break;</v>
      </c>
    </row>
    <row r="107" spans="2:18" ht="26.5" customHeight="1">
      <c r="B107" s="2">
        <v>85</v>
      </c>
      <c r="C107" s="2">
        <f t="shared" si="31"/>
        <v>5</v>
      </c>
      <c r="D107" s="2">
        <f t="shared" si="28"/>
        <v>5</v>
      </c>
      <c r="E107" s="2" t="str">
        <f t="shared" si="29"/>
        <v>＞</v>
      </c>
      <c r="F107" s="2"/>
      <c r="G107" s="2"/>
      <c r="K107" t="str">
        <f t="shared" si="30"/>
        <v>case L'＞': bmcode = 0x0055; break;</v>
      </c>
      <c r="R107" t="str">
        <f t="shared" si="32"/>
        <v>case L'&gt;': bmcode = 0x0055; break;</v>
      </c>
    </row>
    <row r="108" spans="2:18" ht="26.5" customHeight="1">
      <c r="B108" s="2">
        <v>86</v>
      </c>
      <c r="C108" s="2">
        <f t="shared" si="31"/>
        <v>5</v>
      </c>
      <c r="D108" s="2">
        <f t="shared" si="28"/>
        <v>6</v>
      </c>
      <c r="E108" s="2" t="str">
        <f t="shared" si="29"/>
        <v>＠</v>
      </c>
      <c r="F108" s="2"/>
      <c r="G108" s="2"/>
      <c r="K108" t="str">
        <f t="shared" si="30"/>
        <v>case L'＠': bmcode = 0x0056; break;</v>
      </c>
      <c r="R108" t="str">
        <f t="shared" si="32"/>
        <v>case L'@': bmcode = 0x0056; break;</v>
      </c>
    </row>
    <row r="109" spans="2:18" ht="26.5" customHeight="1">
      <c r="B109" s="2">
        <v>87</v>
      </c>
      <c r="C109" s="2">
        <f t="shared" si="31"/>
        <v>5</v>
      </c>
      <c r="D109" s="2">
        <f t="shared" si="28"/>
        <v>7</v>
      </c>
      <c r="E109" s="2" t="str">
        <f t="shared" si="29"/>
        <v>※</v>
      </c>
      <c r="F109" s="2"/>
      <c r="G109" s="2"/>
      <c r="K109" t="str">
        <f t="shared" si="30"/>
        <v>case L'※': bmcode = 0x0057; break;</v>
      </c>
    </row>
    <row r="110" spans="2:18" ht="26.5" customHeight="1">
      <c r="B110" s="2">
        <v>88</v>
      </c>
      <c r="C110" s="2">
        <f t="shared" si="31"/>
        <v>5</v>
      </c>
      <c r="D110" s="2">
        <f t="shared" si="28"/>
        <v>8</v>
      </c>
      <c r="E110" s="2" t="str">
        <f t="shared" si="29"/>
        <v>ー</v>
      </c>
      <c r="F110" s="2"/>
      <c r="G110" s="2"/>
      <c r="K110" t="str">
        <f t="shared" si="30"/>
        <v>case L'ー': bmcode = 0x0058; break;</v>
      </c>
    </row>
    <row r="111" spans="2:18" ht="26.5" customHeight="1">
      <c r="B111" s="2">
        <v>89</v>
      </c>
      <c r="C111" s="2">
        <f t="shared" si="31"/>
        <v>5</v>
      </c>
      <c r="D111" s="2">
        <f t="shared" si="28"/>
        <v>9</v>
      </c>
      <c r="E111" s="2" t="str">
        <f t="shared" si="29"/>
        <v>、</v>
      </c>
      <c r="F111" s="2"/>
      <c r="G111" s="2"/>
      <c r="K111" t="str">
        <f t="shared" si="30"/>
        <v>case L'、': bmcode = 0x0059; break;</v>
      </c>
    </row>
    <row r="112" spans="2:18" ht="26.5" customHeight="1">
      <c r="B112" s="2">
        <v>90</v>
      </c>
      <c r="C112" s="2">
        <f t="shared" si="31"/>
        <v>5</v>
      </c>
      <c r="D112" s="2">
        <f t="shared" si="28"/>
        <v>10</v>
      </c>
      <c r="E112" s="2" t="str">
        <f t="shared" si="29"/>
        <v>。</v>
      </c>
      <c r="F112" s="2"/>
      <c r="G112" s="2"/>
      <c r="K112" t="str">
        <f t="shared" si="30"/>
        <v>case L'。': bmcode = 0x005A; break;</v>
      </c>
    </row>
    <row r="113" spans="2:18" ht="26.5" customHeight="1">
      <c r="B113" s="2">
        <v>91</v>
      </c>
      <c r="C113" s="2">
        <f t="shared" si="31"/>
        <v>5</v>
      </c>
      <c r="D113" s="2">
        <f t="shared" si="28"/>
        <v>11</v>
      </c>
      <c r="E113" s="2" t="str">
        <f t="shared" si="29"/>
        <v>，</v>
      </c>
      <c r="F113" s="2"/>
      <c r="G113" s="2"/>
      <c r="K113" t="str">
        <f t="shared" si="30"/>
        <v>case L'，': bmcode = 0x005B; break;</v>
      </c>
      <c r="R113" t="str">
        <f t="shared" si="32"/>
        <v>case L',': bmcode = 0x005B; break;</v>
      </c>
    </row>
    <row r="114" spans="2:18" ht="26.5" customHeight="1">
      <c r="B114" s="2">
        <v>92</v>
      </c>
      <c r="C114" s="2">
        <f t="shared" si="31"/>
        <v>5</v>
      </c>
      <c r="D114" s="2">
        <f t="shared" si="28"/>
        <v>12</v>
      </c>
      <c r="E114" s="2" t="str">
        <f t="shared" si="29"/>
        <v>．</v>
      </c>
      <c r="F114" s="2"/>
      <c r="G114" s="2"/>
      <c r="K114" t="str">
        <f t="shared" si="30"/>
        <v>case L'．': bmcode = 0x005C; break;</v>
      </c>
      <c r="R114" t="str">
        <f t="shared" si="32"/>
        <v>case L'.': bmcode = 0x005C; break;</v>
      </c>
    </row>
    <row r="115" spans="2:18" ht="26.5" customHeight="1">
      <c r="B115" s="2">
        <v>93</v>
      </c>
      <c r="C115" s="2">
        <f t="shared" si="31"/>
        <v>5</v>
      </c>
      <c r="D115" s="2">
        <f t="shared" si="28"/>
        <v>13</v>
      </c>
      <c r="E115" s="2" t="str">
        <f t="shared" si="29"/>
        <v>・</v>
      </c>
      <c r="F115" s="2"/>
      <c r="G115" s="2"/>
      <c r="K115" t="str">
        <f t="shared" si="30"/>
        <v>case L'・': bmcode = 0x005D; break;</v>
      </c>
      <c r="R115" t="str">
        <f t="shared" si="32"/>
        <v>case L'･': bmcode = 0x005D; break;</v>
      </c>
    </row>
    <row r="116" spans="2:18" ht="26.5" customHeight="1">
      <c r="B116" s="2">
        <v>94</v>
      </c>
      <c r="C116" s="2">
        <f t="shared" si="31"/>
        <v>5</v>
      </c>
      <c r="D116" s="2">
        <f t="shared" si="28"/>
        <v>14</v>
      </c>
      <c r="E116" s="2" t="str">
        <f t="shared" si="29"/>
        <v>’</v>
      </c>
      <c r="F116" s="2"/>
      <c r="G116" s="2"/>
      <c r="K116" t="str">
        <f t="shared" si="30"/>
        <v>case L'’': bmcode = 0x005E; break;</v>
      </c>
      <c r="R116" t="str">
        <f t="shared" si="32"/>
        <v>case L''': bmcode = 0x005E; break;</v>
      </c>
    </row>
    <row r="117" spans="2:18" ht="26.5" customHeight="1">
      <c r="B117" s="2">
        <v>95</v>
      </c>
      <c r="C117" s="2">
        <f t="shared" si="31"/>
        <v>5</v>
      </c>
      <c r="D117" s="2">
        <f t="shared" si="28"/>
        <v>15</v>
      </c>
      <c r="E117" s="2" t="str">
        <f t="shared" si="29"/>
        <v>ヴ</v>
      </c>
      <c r="F117" s="2"/>
      <c r="G117" s="2"/>
      <c r="K117" t="str">
        <f t="shared" si="30"/>
        <v>case L'ヴ': bmcode = 0x005F; break;</v>
      </c>
    </row>
    <row r="118" spans="2:18" ht="26.5" customHeight="1">
      <c r="B118" s="2">
        <v>96</v>
      </c>
      <c r="C118" s="2">
        <f t="shared" si="31"/>
        <v>6</v>
      </c>
      <c r="D118" s="2">
        <f t="shared" si="28"/>
        <v>0</v>
      </c>
      <c r="E118" s="2" t="str">
        <f t="shared" si="29"/>
        <v>あ</v>
      </c>
      <c r="F118" s="2"/>
      <c r="G118" s="2"/>
      <c r="K118" t="str">
        <f t="shared" si="30"/>
        <v>case L'あ': bmcode = 0x0060; break;</v>
      </c>
    </row>
    <row r="119" spans="2:18" ht="26.5" customHeight="1">
      <c r="B119" s="2">
        <v>97</v>
      </c>
      <c r="C119" s="2">
        <f t="shared" si="31"/>
        <v>6</v>
      </c>
      <c r="D119" s="2">
        <f t="shared" si="28"/>
        <v>1</v>
      </c>
      <c r="E119" s="2" t="str">
        <f t="shared" si="29"/>
        <v>い</v>
      </c>
      <c r="F119" s="2"/>
      <c r="G119" s="2"/>
      <c r="K119" t="str">
        <f t="shared" si="30"/>
        <v>case L'い': bmcode = 0x0061; break;</v>
      </c>
    </row>
    <row r="120" spans="2:18" ht="26.5" customHeight="1">
      <c r="B120" s="2">
        <v>98</v>
      </c>
      <c r="C120" s="2">
        <f t="shared" si="31"/>
        <v>6</v>
      </c>
      <c r="D120" s="2">
        <f t="shared" si="28"/>
        <v>2</v>
      </c>
      <c r="E120" s="2" t="str">
        <f t="shared" si="29"/>
        <v>う</v>
      </c>
      <c r="F120" s="2"/>
      <c r="G120" s="2"/>
      <c r="K120" t="str">
        <f t="shared" si="30"/>
        <v>case L'う': bmcode = 0x0062; break;</v>
      </c>
    </row>
    <row r="121" spans="2:18" ht="26.5" customHeight="1">
      <c r="B121" s="2">
        <v>99</v>
      </c>
      <c r="C121" s="2">
        <f t="shared" si="31"/>
        <v>6</v>
      </c>
      <c r="D121" s="2">
        <f t="shared" si="28"/>
        <v>3</v>
      </c>
      <c r="E121" s="2" t="str">
        <f t="shared" si="29"/>
        <v>え</v>
      </c>
      <c r="F121" s="2"/>
      <c r="G121" s="2"/>
      <c r="K121" t="str">
        <f t="shared" si="30"/>
        <v>case L'え': bmcode = 0x0063; break;</v>
      </c>
    </row>
    <row r="122" spans="2:18" ht="26.5" customHeight="1">
      <c r="B122" s="2">
        <v>100</v>
      </c>
      <c r="C122" s="2">
        <f t="shared" si="31"/>
        <v>6</v>
      </c>
      <c r="D122" s="2">
        <f t="shared" si="28"/>
        <v>4</v>
      </c>
      <c r="E122" s="2" t="str">
        <f t="shared" si="29"/>
        <v>お</v>
      </c>
      <c r="F122" s="2"/>
      <c r="G122" s="2"/>
      <c r="K122" t="str">
        <f t="shared" si="30"/>
        <v>case L'お': bmcode = 0x0064; break;</v>
      </c>
    </row>
    <row r="123" spans="2:18" ht="26.5" customHeight="1">
      <c r="B123" s="2">
        <v>101</v>
      </c>
      <c r="C123" s="2">
        <f t="shared" si="31"/>
        <v>6</v>
      </c>
      <c r="D123" s="2">
        <f t="shared" si="28"/>
        <v>5</v>
      </c>
      <c r="E123" s="2" t="str">
        <f t="shared" si="29"/>
        <v>か</v>
      </c>
      <c r="F123" s="2"/>
      <c r="G123" s="2"/>
      <c r="K123" t="str">
        <f t="shared" si="30"/>
        <v>case L'か': bmcode = 0x0065; break;</v>
      </c>
    </row>
    <row r="124" spans="2:18" ht="26.5" customHeight="1">
      <c r="B124" s="2">
        <v>102</v>
      </c>
      <c r="C124" s="2">
        <f t="shared" si="31"/>
        <v>6</v>
      </c>
      <c r="D124" s="2">
        <f t="shared" si="28"/>
        <v>6</v>
      </c>
      <c r="E124" s="2" t="str">
        <f t="shared" si="29"/>
        <v>き</v>
      </c>
      <c r="F124" s="2"/>
      <c r="G124" s="2"/>
      <c r="K124" t="str">
        <f t="shared" si="30"/>
        <v>case L'き': bmcode = 0x0066; break;</v>
      </c>
    </row>
    <row r="125" spans="2:18" ht="26.5" customHeight="1">
      <c r="B125" s="2">
        <v>103</v>
      </c>
      <c r="C125" s="2">
        <f t="shared" si="31"/>
        <v>6</v>
      </c>
      <c r="D125" s="2">
        <f t="shared" si="28"/>
        <v>7</v>
      </c>
      <c r="E125" s="2" t="str">
        <f t="shared" si="29"/>
        <v>く</v>
      </c>
      <c r="F125" s="2"/>
      <c r="G125" s="2"/>
      <c r="K125" t="str">
        <f t="shared" si="30"/>
        <v>case L'く': bmcode = 0x0067; break;</v>
      </c>
    </row>
    <row r="126" spans="2:18" ht="26.5" customHeight="1">
      <c r="B126" s="2">
        <v>104</v>
      </c>
      <c r="C126" s="2">
        <f t="shared" si="31"/>
        <v>6</v>
      </c>
      <c r="D126" s="2">
        <f t="shared" si="28"/>
        <v>8</v>
      </c>
      <c r="E126" s="2" t="str">
        <f t="shared" si="29"/>
        <v>け</v>
      </c>
      <c r="F126" s="2"/>
      <c r="G126" s="2"/>
      <c r="K126" t="str">
        <f t="shared" si="30"/>
        <v>case L'け': bmcode = 0x0068; break;</v>
      </c>
    </row>
    <row r="127" spans="2:18" ht="26.5" customHeight="1">
      <c r="B127" s="2">
        <v>105</v>
      </c>
      <c r="C127" s="2">
        <f t="shared" si="31"/>
        <v>6</v>
      </c>
      <c r="D127" s="2">
        <f t="shared" si="28"/>
        <v>9</v>
      </c>
      <c r="E127" s="2" t="str">
        <f t="shared" si="29"/>
        <v>こ</v>
      </c>
      <c r="F127" s="2"/>
      <c r="G127" s="2"/>
      <c r="K127" t="str">
        <f t="shared" si="30"/>
        <v>case L'こ': bmcode = 0x0069; break;</v>
      </c>
    </row>
    <row r="128" spans="2:18" ht="26.5" customHeight="1">
      <c r="B128" s="2">
        <v>106</v>
      </c>
      <c r="C128" s="2">
        <f t="shared" si="31"/>
        <v>6</v>
      </c>
      <c r="D128" s="2">
        <f t="shared" si="28"/>
        <v>10</v>
      </c>
      <c r="E128" s="2" t="str">
        <f t="shared" si="29"/>
        <v>さ</v>
      </c>
      <c r="F128" s="2"/>
      <c r="G128" s="2"/>
      <c r="K128" t="str">
        <f t="shared" si="30"/>
        <v>case L'さ': bmcode = 0x006A; break;</v>
      </c>
    </row>
    <row r="129" spans="2:11" ht="26.5" customHeight="1">
      <c r="B129" s="2">
        <v>107</v>
      </c>
      <c r="C129" s="2">
        <f t="shared" si="31"/>
        <v>6</v>
      </c>
      <c r="D129" s="2">
        <f t="shared" si="28"/>
        <v>11</v>
      </c>
      <c r="E129" s="2" t="str">
        <f t="shared" si="29"/>
        <v>し</v>
      </c>
      <c r="F129" s="2"/>
      <c r="G129" s="2"/>
      <c r="K129" t="str">
        <f t="shared" si="30"/>
        <v>case L'し': bmcode = 0x006B; break;</v>
      </c>
    </row>
    <row r="130" spans="2:11" ht="26.5" customHeight="1">
      <c r="B130" s="2">
        <v>108</v>
      </c>
      <c r="C130" s="2">
        <f t="shared" si="31"/>
        <v>6</v>
      </c>
      <c r="D130" s="2">
        <f t="shared" si="28"/>
        <v>12</v>
      </c>
      <c r="E130" s="2" t="str">
        <f t="shared" si="29"/>
        <v>す</v>
      </c>
      <c r="F130" s="2"/>
      <c r="G130" s="2"/>
      <c r="K130" t="str">
        <f t="shared" si="30"/>
        <v>case L'す': bmcode = 0x006C; break;</v>
      </c>
    </row>
    <row r="131" spans="2:11" ht="26.5" customHeight="1">
      <c r="B131" s="2">
        <v>109</v>
      </c>
      <c r="C131" s="2">
        <f t="shared" si="31"/>
        <v>6</v>
      </c>
      <c r="D131" s="2">
        <f t="shared" si="28"/>
        <v>13</v>
      </c>
      <c r="E131" s="2" t="str">
        <f t="shared" si="29"/>
        <v>せ</v>
      </c>
      <c r="F131" s="2"/>
      <c r="G131" s="2"/>
      <c r="K131" t="str">
        <f t="shared" si="30"/>
        <v>case L'せ': bmcode = 0x006D; break;</v>
      </c>
    </row>
    <row r="132" spans="2:11" ht="26.5" customHeight="1">
      <c r="B132" s="2">
        <v>110</v>
      </c>
      <c r="C132" s="2">
        <f t="shared" si="31"/>
        <v>6</v>
      </c>
      <c r="D132" s="2">
        <f t="shared" si="28"/>
        <v>14</v>
      </c>
      <c r="E132" s="2" t="str">
        <f t="shared" si="29"/>
        <v>そ</v>
      </c>
      <c r="F132" s="2"/>
      <c r="G132" s="2"/>
      <c r="K132" t="str">
        <f t="shared" si="30"/>
        <v>case L'そ': bmcode = 0x006E; break;</v>
      </c>
    </row>
    <row r="133" spans="2:11" ht="26.5" customHeight="1">
      <c r="B133" s="2">
        <v>111</v>
      </c>
      <c r="C133" s="2">
        <f t="shared" si="31"/>
        <v>6</v>
      </c>
      <c r="D133" s="2">
        <f t="shared" si="28"/>
        <v>15</v>
      </c>
      <c r="E133" s="2" t="str">
        <f t="shared" si="29"/>
        <v>た</v>
      </c>
      <c r="F133" s="2"/>
      <c r="G133" s="2"/>
      <c r="K133" t="str">
        <f t="shared" si="30"/>
        <v>case L'た': bmcode = 0x006F; break;</v>
      </c>
    </row>
    <row r="134" spans="2:11" ht="26.5" customHeight="1">
      <c r="B134" s="2">
        <v>112</v>
      </c>
      <c r="C134" s="2">
        <f t="shared" si="31"/>
        <v>7</v>
      </c>
      <c r="D134" s="2">
        <f t="shared" si="28"/>
        <v>0</v>
      </c>
      <c r="E134" s="2" t="str">
        <f t="shared" si="29"/>
        <v>ち</v>
      </c>
      <c r="F134" s="2"/>
      <c r="G134" s="2"/>
      <c r="K134" t="str">
        <f t="shared" si="30"/>
        <v>case L'ち': bmcode = 0x0070; break;</v>
      </c>
    </row>
    <row r="135" spans="2:11" ht="26.5" customHeight="1">
      <c r="B135" s="2">
        <v>113</v>
      </c>
      <c r="C135" s="2">
        <f t="shared" si="31"/>
        <v>7</v>
      </c>
      <c r="D135" s="2">
        <f t="shared" si="28"/>
        <v>1</v>
      </c>
      <c r="E135" s="2" t="str">
        <f t="shared" si="29"/>
        <v>つ</v>
      </c>
      <c r="F135" s="2"/>
      <c r="G135" s="2"/>
      <c r="K135" t="str">
        <f t="shared" si="30"/>
        <v>case L'つ': bmcode = 0x0071; break;</v>
      </c>
    </row>
    <row r="136" spans="2:11" ht="26.5" customHeight="1">
      <c r="B136" s="2">
        <v>114</v>
      </c>
      <c r="C136" s="2">
        <f t="shared" si="31"/>
        <v>7</v>
      </c>
      <c r="D136" s="2">
        <f t="shared" si="28"/>
        <v>2</v>
      </c>
      <c r="E136" s="2" t="str">
        <f t="shared" si="29"/>
        <v>て</v>
      </c>
      <c r="F136" s="2"/>
      <c r="G136" s="2"/>
      <c r="K136" t="str">
        <f t="shared" si="30"/>
        <v>case L'て': bmcode = 0x0072; break;</v>
      </c>
    </row>
    <row r="137" spans="2:11" ht="26.5" customHeight="1">
      <c r="B137" s="2">
        <v>115</v>
      </c>
      <c r="C137" s="2">
        <f t="shared" si="31"/>
        <v>7</v>
      </c>
      <c r="D137" s="2">
        <f t="shared" si="28"/>
        <v>3</v>
      </c>
      <c r="E137" s="2" t="str">
        <f t="shared" si="29"/>
        <v>と</v>
      </c>
      <c r="F137" s="2"/>
      <c r="G137" s="2"/>
      <c r="K137" t="str">
        <f t="shared" si="30"/>
        <v>case L'と': bmcode = 0x0073; break;</v>
      </c>
    </row>
    <row r="138" spans="2:11" ht="26.5" customHeight="1">
      <c r="B138" s="2">
        <v>116</v>
      </c>
      <c r="C138" s="2">
        <f t="shared" si="31"/>
        <v>7</v>
      </c>
      <c r="D138" s="2">
        <f t="shared" si="28"/>
        <v>4</v>
      </c>
      <c r="E138" s="2" t="str">
        <f t="shared" si="29"/>
        <v>な</v>
      </c>
      <c r="F138" s="2"/>
      <c r="G138" s="2"/>
      <c r="K138" t="str">
        <f t="shared" si="30"/>
        <v>case L'な': bmcode = 0x0074; break;</v>
      </c>
    </row>
    <row r="139" spans="2:11" ht="26.5" customHeight="1">
      <c r="B139" s="2">
        <v>117</v>
      </c>
      <c r="C139" s="2">
        <f t="shared" si="31"/>
        <v>7</v>
      </c>
      <c r="D139" s="2">
        <f t="shared" si="28"/>
        <v>5</v>
      </c>
      <c r="E139" s="2" t="str">
        <f t="shared" si="29"/>
        <v>に</v>
      </c>
      <c r="F139" s="2"/>
      <c r="G139" s="2"/>
      <c r="K139" t="str">
        <f t="shared" si="30"/>
        <v>case L'に': bmcode = 0x0075; break;</v>
      </c>
    </row>
    <row r="140" spans="2:11" ht="26.5" customHeight="1">
      <c r="B140" s="2">
        <v>118</v>
      </c>
      <c r="C140" s="2">
        <f t="shared" si="31"/>
        <v>7</v>
      </c>
      <c r="D140" s="2">
        <f t="shared" si="28"/>
        <v>6</v>
      </c>
      <c r="E140" s="2" t="str">
        <f t="shared" si="29"/>
        <v>ぬ</v>
      </c>
      <c r="F140" s="2"/>
      <c r="G140" s="2"/>
      <c r="K140" t="str">
        <f t="shared" si="30"/>
        <v>case L'ぬ': bmcode = 0x0076; break;</v>
      </c>
    </row>
    <row r="141" spans="2:11" ht="26.5" customHeight="1">
      <c r="B141" s="2">
        <v>119</v>
      </c>
      <c r="C141" s="2">
        <f t="shared" si="31"/>
        <v>7</v>
      </c>
      <c r="D141" s="2">
        <f t="shared" si="28"/>
        <v>7</v>
      </c>
      <c r="E141" s="2" t="str">
        <f t="shared" si="29"/>
        <v>ね</v>
      </c>
      <c r="F141" s="2"/>
      <c r="G141" s="2"/>
      <c r="K141" t="str">
        <f t="shared" si="30"/>
        <v>case L'ね': bmcode = 0x0077; break;</v>
      </c>
    </row>
    <row r="142" spans="2:11" ht="26.5" customHeight="1">
      <c r="B142" s="2">
        <v>120</v>
      </c>
      <c r="C142" s="2">
        <f t="shared" si="31"/>
        <v>7</v>
      </c>
      <c r="D142" s="2">
        <f t="shared" si="28"/>
        <v>8</v>
      </c>
      <c r="E142" s="2" t="str">
        <f t="shared" si="29"/>
        <v>の</v>
      </c>
      <c r="F142" s="2"/>
      <c r="G142" s="2"/>
      <c r="K142" t="str">
        <f t="shared" si="30"/>
        <v>case L'の': bmcode = 0x0078; break;</v>
      </c>
    </row>
    <row r="143" spans="2:11" ht="26.5" customHeight="1">
      <c r="B143" s="2">
        <v>121</v>
      </c>
      <c r="C143" s="2">
        <f t="shared" si="31"/>
        <v>7</v>
      </c>
      <c r="D143" s="2">
        <f t="shared" si="28"/>
        <v>9</v>
      </c>
      <c r="E143" s="2" t="str">
        <f t="shared" si="29"/>
        <v>は</v>
      </c>
      <c r="F143" s="2"/>
      <c r="G143" s="2"/>
      <c r="K143" t="str">
        <f t="shared" si="30"/>
        <v>case L'は': bmcode = 0x0079; break;</v>
      </c>
    </row>
    <row r="144" spans="2:11" ht="26.5" customHeight="1">
      <c r="B144" s="2">
        <v>122</v>
      </c>
      <c r="C144" s="2">
        <f t="shared" si="31"/>
        <v>7</v>
      </c>
      <c r="D144" s="2">
        <f t="shared" si="28"/>
        <v>10</v>
      </c>
      <c r="E144" s="2" t="str">
        <f t="shared" si="29"/>
        <v>ひ</v>
      </c>
      <c r="F144" s="2"/>
      <c r="G144" s="2"/>
      <c r="K144" t="str">
        <f t="shared" si="30"/>
        <v>case L'ひ': bmcode = 0x007A; break;</v>
      </c>
    </row>
    <row r="145" spans="2:11" ht="26.5" customHeight="1">
      <c r="B145" s="2">
        <v>123</v>
      </c>
      <c r="C145" s="2">
        <f t="shared" si="31"/>
        <v>7</v>
      </c>
      <c r="D145" s="2">
        <f t="shared" si="28"/>
        <v>11</v>
      </c>
      <c r="E145" s="2" t="str">
        <f t="shared" si="29"/>
        <v>ふ</v>
      </c>
      <c r="F145" s="2"/>
      <c r="G145" s="2"/>
      <c r="K145" t="str">
        <f t="shared" si="30"/>
        <v>case L'ふ': bmcode = 0x007B; break;</v>
      </c>
    </row>
    <row r="146" spans="2:11" ht="26.5" customHeight="1">
      <c r="B146" s="2">
        <v>124</v>
      </c>
      <c r="C146" s="2">
        <f t="shared" si="31"/>
        <v>7</v>
      </c>
      <c r="D146" s="2">
        <f t="shared" si="28"/>
        <v>12</v>
      </c>
      <c r="E146" s="2" t="str">
        <f t="shared" si="29"/>
        <v>へ</v>
      </c>
      <c r="F146" s="2"/>
      <c r="G146" s="2"/>
      <c r="K146" t="str">
        <f t="shared" si="30"/>
        <v>case L'へ': bmcode = 0x007C; break;</v>
      </c>
    </row>
    <row r="147" spans="2:11" ht="26.5" customHeight="1">
      <c r="B147" s="2">
        <v>125</v>
      </c>
      <c r="C147" s="2">
        <f t="shared" si="31"/>
        <v>7</v>
      </c>
      <c r="D147" s="2">
        <f t="shared" si="28"/>
        <v>13</v>
      </c>
      <c r="E147" s="2" t="str">
        <f t="shared" si="29"/>
        <v>ほ</v>
      </c>
      <c r="F147" s="2"/>
      <c r="G147" s="2"/>
      <c r="K147" t="str">
        <f t="shared" si="30"/>
        <v>case L'ほ': bmcode = 0x007D; break;</v>
      </c>
    </row>
    <row r="148" spans="2:11" ht="26.5" customHeight="1">
      <c r="B148" s="2">
        <v>126</v>
      </c>
      <c r="C148" s="2">
        <f t="shared" si="31"/>
        <v>7</v>
      </c>
      <c r="D148" s="2">
        <f t="shared" si="28"/>
        <v>14</v>
      </c>
      <c r="E148" s="2" t="str">
        <f t="shared" si="29"/>
        <v>ま</v>
      </c>
      <c r="F148" s="2"/>
      <c r="G148" s="2"/>
      <c r="K148" t="str">
        <f t="shared" si="30"/>
        <v>case L'ま': bmcode = 0x007E; break;</v>
      </c>
    </row>
    <row r="149" spans="2:11" ht="26.5" customHeight="1">
      <c r="B149" s="2">
        <v>127</v>
      </c>
      <c r="C149" s="2">
        <f t="shared" si="31"/>
        <v>7</v>
      </c>
      <c r="D149" s="2">
        <f t="shared" si="28"/>
        <v>15</v>
      </c>
      <c r="E149" s="2" t="str">
        <f t="shared" si="29"/>
        <v>み</v>
      </c>
      <c r="F149" s="2"/>
      <c r="G149" s="2"/>
      <c r="K149" t="str">
        <f t="shared" si="30"/>
        <v>case L'み': bmcode = 0x007F; break;</v>
      </c>
    </row>
    <row r="150" spans="2:11" ht="26.5" customHeight="1">
      <c r="B150" s="2">
        <v>128</v>
      </c>
      <c r="C150" s="2">
        <f t="shared" si="31"/>
        <v>8</v>
      </c>
      <c r="D150" s="2">
        <f t="shared" si="28"/>
        <v>0</v>
      </c>
      <c r="E150" s="2" t="str">
        <f t="shared" si="29"/>
        <v>む</v>
      </c>
      <c r="F150" s="2"/>
      <c r="G150" s="2"/>
      <c r="K150" t="str">
        <f t="shared" si="30"/>
        <v>case L'む': bmcode = 0x0080; break;</v>
      </c>
    </row>
    <row r="151" spans="2:11" ht="26.5" customHeight="1">
      <c r="B151" s="2">
        <v>129</v>
      </c>
      <c r="C151" s="2">
        <f t="shared" si="31"/>
        <v>8</v>
      </c>
      <c r="D151" s="2">
        <f t="shared" ref="D151:D214" si="33">MOD(B151,16)</f>
        <v>1</v>
      </c>
      <c r="E151" s="2" t="str">
        <f t="shared" ref="E151:E214" si="34">IF(INDEX($C$3:$R$18,C151+1,D151+1)="","",INDEX($C$3:$R$18,C151+1,D151+1))</f>
        <v>め</v>
      </c>
      <c r="F151" s="2"/>
      <c r="G151" s="2"/>
      <c r="K151" t="str">
        <f t="shared" ref="K151:K214" si="35">"case "&amp;"L'"&amp;E151&amp;"'"&amp;": "&amp;"bmcode = 0x"&amp;RIGHT("0000"&amp;DEC2HEX(C151*16+D151),4)&amp;"; break;"</f>
        <v>case L'め': bmcode = 0x0081; break;</v>
      </c>
    </row>
    <row r="152" spans="2:11" ht="26.5" customHeight="1">
      <c r="B152" s="2">
        <v>130</v>
      </c>
      <c r="C152" s="2">
        <f t="shared" si="31"/>
        <v>8</v>
      </c>
      <c r="D152" s="2">
        <f t="shared" si="33"/>
        <v>2</v>
      </c>
      <c r="E152" s="2" t="str">
        <f t="shared" si="34"/>
        <v>も</v>
      </c>
      <c r="F152" s="2"/>
      <c r="G152" s="2"/>
      <c r="K152" t="str">
        <f t="shared" si="35"/>
        <v>case L'も': bmcode = 0x0082; break;</v>
      </c>
    </row>
    <row r="153" spans="2:11" ht="26.5" customHeight="1">
      <c r="B153" s="2">
        <v>131</v>
      </c>
      <c r="C153" s="2">
        <f t="shared" si="31"/>
        <v>8</v>
      </c>
      <c r="D153" s="2">
        <f t="shared" si="33"/>
        <v>3</v>
      </c>
      <c r="E153" s="2" t="str">
        <f t="shared" si="34"/>
        <v>や</v>
      </c>
      <c r="F153" s="2"/>
      <c r="G153" s="2"/>
      <c r="K153" t="str">
        <f t="shared" si="35"/>
        <v>case L'や': bmcode = 0x0083; break;</v>
      </c>
    </row>
    <row r="154" spans="2:11" ht="26.5" customHeight="1">
      <c r="B154" s="2">
        <v>132</v>
      </c>
      <c r="C154" s="2">
        <f t="shared" si="31"/>
        <v>8</v>
      </c>
      <c r="D154" s="2">
        <f t="shared" si="33"/>
        <v>4</v>
      </c>
      <c r="E154" s="2" t="str">
        <f t="shared" si="34"/>
        <v>ゆ</v>
      </c>
      <c r="F154" s="2"/>
      <c r="G154" s="2"/>
      <c r="K154" t="str">
        <f t="shared" si="35"/>
        <v>case L'ゆ': bmcode = 0x0084; break;</v>
      </c>
    </row>
    <row r="155" spans="2:11" ht="26.5" customHeight="1">
      <c r="B155" s="2">
        <v>133</v>
      </c>
      <c r="C155" s="2">
        <f t="shared" si="31"/>
        <v>8</v>
      </c>
      <c r="D155" s="2">
        <f t="shared" si="33"/>
        <v>5</v>
      </c>
      <c r="E155" s="2" t="str">
        <f t="shared" si="34"/>
        <v>よ</v>
      </c>
      <c r="F155" s="2"/>
      <c r="G155" s="2"/>
      <c r="K155" t="str">
        <f t="shared" si="35"/>
        <v>case L'よ': bmcode = 0x0085; break;</v>
      </c>
    </row>
    <row r="156" spans="2:11" ht="26.5" customHeight="1">
      <c r="B156" s="2">
        <v>134</v>
      </c>
      <c r="C156" s="2">
        <f t="shared" si="31"/>
        <v>8</v>
      </c>
      <c r="D156" s="2">
        <f t="shared" si="33"/>
        <v>6</v>
      </c>
      <c r="E156" s="2" t="str">
        <f t="shared" si="34"/>
        <v>ら</v>
      </c>
      <c r="F156" s="2"/>
      <c r="G156" s="2"/>
      <c r="K156" t="str">
        <f t="shared" si="35"/>
        <v>case L'ら': bmcode = 0x0086; break;</v>
      </c>
    </row>
    <row r="157" spans="2:11" ht="26.5" customHeight="1">
      <c r="B157" s="2">
        <v>135</v>
      </c>
      <c r="C157" s="2">
        <f t="shared" si="31"/>
        <v>8</v>
      </c>
      <c r="D157" s="2">
        <f t="shared" si="33"/>
        <v>7</v>
      </c>
      <c r="E157" s="2" t="str">
        <f t="shared" si="34"/>
        <v>り</v>
      </c>
      <c r="F157" s="2"/>
      <c r="G157" s="2"/>
      <c r="K157" t="str">
        <f t="shared" si="35"/>
        <v>case L'り': bmcode = 0x0087; break;</v>
      </c>
    </row>
    <row r="158" spans="2:11" ht="26.5" customHeight="1">
      <c r="B158" s="2">
        <v>136</v>
      </c>
      <c r="C158" s="2">
        <f t="shared" si="31"/>
        <v>8</v>
      </c>
      <c r="D158" s="2">
        <f t="shared" si="33"/>
        <v>8</v>
      </c>
      <c r="E158" s="2" t="str">
        <f t="shared" si="34"/>
        <v>る</v>
      </c>
      <c r="F158" s="2"/>
      <c r="G158" s="2"/>
      <c r="K158" t="str">
        <f t="shared" si="35"/>
        <v>case L'る': bmcode = 0x0088; break;</v>
      </c>
    </row>
    <row r="159" spans="2:11" ht="26.5" customHeight="1">
      <c r="B159" s="2">
        <v>137</v>
      </c>
      <c r="C159" s="2">
        <f t="shared" ref="C159:C222" si="36">ROUNDDOWN(B159/16,0)</f>
        <v>8</v>
      </c>
      <c r="D159" s="2">
        <f t="shared" si="33"/>
        <v>9</v>
      </c>
      <c r="E159" s="2" t="str">
        <f t="shared" si="34"/>
        <v>れ</v>
      </c>
      <c r="F159" s="2"/>
      <c r="G159" s="2"/>
      <c r="K159" t="str">
        <f t="shared" si="35"/>
        <v>case L'れ': bmcode = 0x0089; break;</v>
      </c>
    </row>
    <row r="160" spans="2:11" ht="26.5" customHeight="1">
      <c r="B160" s="2">
        <v>138</v>
      </c>
      <c r="C160" s="2">
        <f t="shared" si="36"/>
        <v>8</v>
      </c>
      <c r="D160" s="2">
        <f t="shared" si="33"/>
        <v>10</v>
      </c>
      <c r="E160" s="2" t="str">
        <f t="shared" si="34"/>
        <v>ろ</v>
      </c>
      <c r="F160" s="2"/>
      <c r="G160" s="2"/>
      <c r="K160" t="str">
        <f t="shared" si="35"/>
        <v>case L'ろ': bmcode = 0x008A; break;</v>
      </c>
    </row>
    <row r="161" spans="2:11" ht="26.5" customHeight="1">
      <c r="B161" s="2">
        <v>139</v>
      </c>
      <c r="C161" s="2">
        <f t="shared" si="36"/>
        <v>8</v>
      </c>
      <c r="D161" s="2">
        <f t="shared" si="33"/>
        <v>11</v>
      </c>
      <c r="E161" s="2" t="str">
        <f t="shared" si="34"/>
        <v>わ</v>
      </c>
      <c r="F161" s="2"/>
      <c r="G161" s="2"/>
      <c r="K161" t="str">
        <f t="shared" si="35"/>
        <v>case L'わ': bmcode = 0x008B; break;</v>
      </c>
    </row>
    <row r="162" spans="2:11" ht="26.5" customHeight="1">
      <c r="B162" s="2">
        <v>140</v>
      </c>
      <c r="C162" s="2">
        <f t="shared" si="36"/>
        <v>8</v>
      </c>
      <c r="D162" s="2">
        <f t="shared" si="33"/>
        <v>12</v>
      </c>
      <c r="E162" s="2" t="str">
        <f t="shared" si="34"/>
        <v>を</v>
      </c>
      <c r="F162" s="2"/>
      <c r="G162" s="2"/>
      <c r="K162" t="str">
        <f t="shared" si="35"/>
        <v>case L'を': bmcode = 0x008C; break;</v>
      </c>
    </row>
    <row r="163" spans="2:11" ht="26.5" customHeight="1">
      <c r="B163" s="2">
        <v>141</v>
      </c>
      <c r="C163" s="2">
        <f t="shared" si="36"/>
        <v>8</v>
      </c>
      <c r="D163" s="2">
        <f t="shared" si="33"/>
        <v>13</v>
      </c>
      <c r="E163" s="2" t="str">
        <f t="shared" si="34"/>
        <v>ん</v>
      </c>
      <c r="F163" s="2"/>
      <c r="G163" s="2"/>
      <c r="K163" t="str">
        <f t="shared" si="35"/>
        <v>case L'ん': bmcode = 0x008D; break;</v>
      </c>
    </row>
    <row r="164" spans="2:11" ht="26.5" customHeight="1">
      <c r="B164" s="2">
        <v>142</v>
      </c>
      <c r="C164" s="2">
        <f t="shared" si="36"/>
        <v>8</v>
      </c>
      <c r="D164" s="2">
        <f t="shared" si="33"/>
        <v>14</v>
      </c>
      <c r="E164" s="2" t="str">
        <f t="shared" si="34"/>
        <v>が</v>
      </c>
      <c r="F164" s="2"/>
      <c r="G164" s="2"/>
      <c r="K164" t="str">
        <f t="shared" si="35"/>
        <v>case L'が': bmcode = 0x008E; break;</v>
      </c>
    </row>
    <row r="165" spans="2:11" ht="26.5" customHeight="1">
      <c r="B165" s="2">
        <v>143</v>
      </c>
      <c r="C165" s="2">
        <f t="shared" si="36"/>
        <v>8</v>
      </c>
      <c r="D165" s="2">
        <f t="shared" si="33"/>
        <v>15</v>
      </c>
      <c r="E165" s="2" t="str">
        <f t="shared" si="34"/>
        <v>ぎ</v>
      </c>
      <c r="F165" s="2"/>
      <c r="G165" s="2"/>
      <c r="K165" t="str">
        <f t="shared" si="35"/>
        <v>case L'ぎ': bmcode = 0x008F; break;</v>
      </c>
    </row>
    <row r="166" spans="2:11" ht="26.5" customHeight="1">
      <c r="B166" s="2">
        <v>144</v>
      </c>
      <c r="C166" s="2">
        <f t="shared" si="36"/>
        <v>9</v>
      </c>
      <c r="D166" s="2">
        <f t="shared" si="33"/>
        <v>0</v>
      </c>
      <c r="E166" s="2" t="str">
        <f t="shared" si="34"/>
        <v>ぐ</v>
      </c>
      <c r="F166" s="2"/>
      <c r="G166" s="2"/>
      <c r="K166" t="str">
        <f t="shared" si="35"/>
        <v>case L'ぐ': bmcode = 0x0090; break;</v>
      </c>
    </row>
    <row r="167" spans="2:11" ht="26.5" customHeight="1">
      <c r="B167" s="2">
        <v>145</v>
      </c>
      <c r="C167" s="2">
        <f t="shared" si="36"/>
        <v>9</v>
      </c>
      <c r="D167" s="2">
        <f t="shared" si="33"/>
        <v>1</v>
      </c>
      <c r="E167" s="2" t="str">
        <f t="shared" si="34"/>
        <v>げ</v>
      </c>
      <c r="F167" s="2"/>
      <c r="G167" s="2"/>
      <c r="K167" t="str">
        <f t="shared" si="35"/>
        <v>case L'げ': bmcode = 0x0091; break;</v>
      </c>
    </row>
    <row r="168" spans="2:11" ht="26.5" customHeight="1">
      <c r="B168" s="2">
        <v>146</v>
      </c>
      <c r="C168" s="2">
        <f t="shared" si="36"/>
        <v>9</v>
      </c>
      <c r="D168" s="2">
        <f t="shared" si="33"/>
        <v>2</v>
      </c>
      <c r="E168" s="2" t="str">
        <f t="shared" si="34"/>
        <v>ご</v>
      </c>
      <c r="F168" s="2"/>
      <c r="G168" s="2"/>
      <c r="K168" t="str">
        <f t="shared" si="35"/>
        <v>case L'ご': bmcode = 0x0092; break;</v>
      </c>
    </row>
    <row r="169" spans="2:11" ht="26.5" customHeight="1">
      <c r="B169" s="2">
        <v>147</v>
      </c>
      <c r="C169" s="2">
        <f t="shared" si="36"/>
        <v>9</v>
      </c>
      <c r="D169" s="2">
        <f t="shared" si="33"/>
        <v>3</v>
      </c>
      <c r="E169" s="2" t="str">
        <f t="shared" si="34"/>
        <v>ざ</v>
      </c>
      <c r="F169" s="2"/>
      <c r="G169" s="2"/>
      <c r="K169" t="str">
        <f t="shared" si="35"/>
        <v>case L'ざ': bmcode = 0x0093; break;</v>
      </c>
    </row>
    <row r="170" spans="2:11" ht="26.5" customHeight="1">
      <c r="B170" s="2">
        <v>148</v>
      </c>
      <c r="C170" s="2">
        <f t="shared" si="36"/>
        <v>9</v>
      </c>
      <c r="D170" s="2">
        <f t="shared" si="33"/>
        <v>4</v>
      </c>
      <c r="E170" s="2" t="str">
        <f t="shared" si="34"/>
        <v>じ</v>
      </c>
      <c r="F170" s="2"/>
      <c r="G170" s="2"/>
      <c r="K170" t="str">
        <f t="shared" si="35"/>
        <v>case L'じ': bmcode = 0x0094; break;</v>
      </c>
    </row>
    <row r="171" spans="2:11" ht="26.5" customHeight="1">
      <c r="B171" s="2">
        <v>149</v>
      </c>
      <c r="C171" s="2">
        <f t="shared" si="36"/>
        <v>9</v>
      </c>
      <c r="D171" s="2">
        <f t="shared" si="33"/>
        <v>5</v>
      </c>
      <c r="E171" s="2" t="str">
        <f t="shared" si="34"/>
        <v>ず</v>
      </c>
      <c r="F171" s="2"/>
      <c r="G171" s="2"/>
      <c r="K171" t="str">
        <f t="shared" si="35"/>
        <v>case L'ず': bmcode = 0x0095; break;</v>
      </c>
    </row>
    <row r="172" spans="2:11" ht="26.5" customHeight="1">
      <c r="B172" s="2">
        <v>150</v>
      </c>
      <c r="C172" s="2">
        <f t="shared" si="36"/>
        <v>9</v>
      </c>
      <c r="D172" s="2">
        <f t="shared" si="33"/>
        <v>6</v>
      </c>
      <c r="E172" s="2" t="str">
        <f t="shared" si="34"/>
        <v>ぜ</v>
      </c>
      <c r="F172" s="2"/>
      <c r="G172" s="2"/>
      <c r="K172" t="str">
        <f t="shared" si="35"/>
        <v>case L'ぜ': bmcode = 0x0096; break;</v>
      </c>
    </row>
    <row r="173" spans="2:11" ht="26.5" customHeight="1">
      <c r="B173" s="2">
        <v>151</v>
      </c>
      <c r="C173" s="2">
        <f t="shared" si="36"/>
        <v>9</v>
      </c>
      <c r="D173" s="2">
        <f t="shared" si="33"/>
        <v>7</v>
      </c>
      <c r="E173" s="2" t="str">
        <f t="shared" si="34"/>
        <v>ぞ</v>
      </c>
      <c r="F173" s="2"/>
      <c r="G173" s="2"/>
      <c r="K173" t="str">
        <f t="shared" si="35"/>
        <v>case L'ぞ': bmcode = 0x0097; break;</v>
      </c>
    </row>
    <row r="174" spans="2:11" ht="26.5" customHeight="1">
      <c r="B174" s="2">
        <v>152</v>
      </c>
      <c r="C174" s="2">
        <f t="shared" si="36"/>
        <v>9</v>
      </c>
      <c r="D174" s="2">
        <f t="shared" si="33"/>
        <v>8</v>
      </c>
      <c r="E174" s="2" t="str">
        <f t="shared" si="34"/>
        <v>だ</v>
      </c>
      <c r="F174" s="2"/>
      <c r="G174" s="2"/>
      <c r="K174" t="str">
        <f t="shared" si="35"/>
        <v>case L'だ': bmcode = 0x0098; break;</v>
      </c>
    </row>
    <row r="175" spans="2:11" ht="26.5" customHeight="1">
      <c r="B175" s="2">
        <v>153</v>
      </c>
      <c r="C175" s="2">
        <f t="shared" si="36"/>
        <v>9</v>
      </c>
      <c r="D175" s="2">
        <f t="shared" si="33"/>
        <v>9</v>
      </c>
      <c r="E175" s="2" t="str">
        <f t="shared" si="34"/>
        <v>ぢ</v>
      </c>
      <c r="F175" s="2"/>
      <c r="G175" s="2"/>
      <c r="K175" t="str">
        <f t="shared" si="35"/>
        <v>case L'ぢ': bmcode = 0x0099; break;</v>
      </c>
    </row>
    <row r="176" spans="2:11" ht="26.5" customHeight="1">
      <c r="B176" s="2">
        <v>154</v>
      </c>
      <c r="C176" s="2">
        <f t="shared" si="36"/>
        <v>9</v>
      </c>
      <c r="D176" s="2">
        <f t="shared" si="33"/>
        <v>10</v>
      </c>
      <c r="E176" s="2" t="str">
        <f t="shared" si="34"/>
        <v>づ</v>
      </c>
      <c r="F176" s="2"/>
      <c r="G176" s="2"/>
      <c r="K176" t="str">
        <f t="shared" si="35"/>
        <v>case L'づ': bmcode = 0x009A; break;</v>
      </c>
    </row>
    <row r="177" spans="2:11" ht="26.5" customHeight="1">
      <c r="B177" s="2">
        <v>155</v>
      </c>
      <c r="C177" s="2">
        <f t="shared" si="36"/>
        <v>9</v>
      </c>
      <c r="D177" s="2">
        <f t="shared" si="33"/>
        <v>11</v>
      </c>
      <c r="E177" s="2" t="str">
        <f t="shared" si="34"/>
        <v>で</v>
      </c>
      <c r="F177" s="2"/>
      <c r="G177" s="2"/>
      <c r="K177" t="str">
        <f t="shared" si="35"/>
        <v>case L'で': bmcode = 0x009B; break;</v>
      </c>
    </row>
    <row r="178" spans="2:11" ht="26.5" customHeight="1">
      <c r="B178" s="2">
        <v>156</v>
      </c>
      <c r="C178" s="2">
        <f t="shared" si="36"/>
        <v>9</v>
      </c>
      <c r="D178" s="2">
        <f t="shared" si="33"/>
        <v>12</v>
      </c>
      <c r="E178" s="2" t="str">
        <f t="shared" si="34"/>
        <v>ど</v>
      </c>
      <c r="F178" s="2"/>
      <c r="G178" s="2"/>
      <c r="K178" t="str">
        <f t="shared" si="35"/>
        <v>case L'ど': bmcode = 0x009C; break;</v>
      </c>
    </row>
    <row r="179" spans="2:11" ht="26.5" customHeight="1">
      <c r="B179" s="2">
        <v>157</v>
      </c>
      <c r="C179" s="2">
        <f t="shared" si="36"/>
        <v>9</v>
      </c>
      <c r="D179" s="2">
        <f t="shared" si="33"/>
        <v>13</v>
      </c>
      <c r="E179" s="2" t="str">
        <f t="shared" si="34"/>
        <v>ば</v>
      </c>
      <c r="F179" s="2"/>
      <c r="G179" s="2"/>
      <c r="K179" t="str">
        <f t="shared" si="35"/>
        <v>case L'ば': bmcode = 0x009D; break;</v>
      </c>
    </row>
    <row r="180" spans="2:11" ht="26.5" customHeight="1">
      <c r="B180" s="2">
        <v>158</v>
      </c>
      <c r="C180" s="2">
        <f t="shared" si="36"/>
        <v>9</v>
      </c>
      <c r="D180" s="2">
        <f t="shared" si="33"/>
        <v>14</v>
      </c>
      <c r="E180" s="2" t="str">
        <f t="shared" si="34"/>
        <v>び</v>
      </c>
      <c r="F180" s="2"/>
      <c r="G180" s="2"/>
      <c r="K180" t="str">
        <f t="shared" si="35"/>
        <v>case L'び': bmcode = 0x009E; break;</v>
      </c>
    </row>
    <row r="181" spans="2:11" ht="26.5" customHeight="1">
      <c r="B181" s="2">
        <v>159</v>
      </c>
      <c r="C181" s="2">
        <f t="shared" si="36"/>
        <v>9</v>
      </c>
      <c r="D181" s="2">
        <f t="shared" si="33"/>
        <v>15</v>
      </c>
      <c r="E181" s="2" t="str">
        <f t="shared" si="34"/>
        <v>ぶ</v>
      </c>
      <c r="F181" s="2"/>
      <c r="G181" s="2"/>
      <c r="K181" t="str">
        <f t="shared" si="35"/>
        <v>case L'ぶ': bmcode = 0x009F; break;</v>
      </c>
    </row>
    <row r="182" spans="2:11" ht="26.5" customHeight="1">
      <c r="B182" s="2">
        <v>160</v>
      </c>
      <c r="C182" s="2">
        <f t="shared" si="36"/>
        <v>10</v>
      </c>
      <c r="D182" s="2">
        <f t="shared" si="33"/>
        <v>0</v>
      </c>
      <c r="E182" s="2" t="str">
        <f t="shared" si="34"/>
        <v>べ</v>
      </c>
      <c r="F182" s="2"/>
      <c r="G182" s="2"/>
      <c r="K182" t="str">
        <f t="shared" si="35"/>
        <v>case L'べ': bmcode = 0x00A0; break;</v>
      </c>
    </row>
    <row r="183" spans="2:11" ht="26.5" customHeight="1">
      <c r="B183" s="2">
        <v>161</v>
      </c>
      <c r="C183" s="2">
        <f t="shared" si="36"/>
        <v>10</v>
      </c>
      <c r="D183" s="2">
        <f t="shared" si="33"/>
        <v>1</v>
      </c>
      <c r="E183" s="2" t="str">
        <f t="shared" si="34"/>
        <v>ぼ</v>
      </c>
      <c r="F183" s="2"/>
      <c r="G183" s="2"/>
      <c r="K183" t="str">
        <f t="shared" si="35"/>
        <v>case L'ぼ': bmcode = 0x00A1; break;</v>
      </c>
    </row>
    <row r="184" spans="2:11" ht="26.5" customHeight="1">
      <c r="B184" s="2">
        <v>162</v>
      </c>
      <c r="C184" s="2">
        <f t="shared" si="36"/>
        <v>10</v>
      </c>
      <c r="D184" s="2">
        <f t="shared" si="33"/>
        <v>2</v>
      </c>
      <c r="E184" s="2" t="str">
        <f t="shared" si="34"/>
        <v>ぱ</v>
      </c>
      <c r="F184" s="2"/>
      <c r="G184" s="2"/>
      <c r="K184" t="str">
        <f t="shared" si="35"/>
        <v>case L'ぱ': bmcode = 0x00A2; break;</v>
      </c>
    </row>
    <row r="185" spans="2:11" ht="26.5" customHeight="1">
      <c r="B185" s="2">
        <v>163</v>
      </c>
      <c r="C185" s="2">
        <f t="shared" si="36"/>
        <v>10</v>
      </c>
      <c r="D185" s="2">
        <f t="shared" si="33"/>
        <v>3</v>
      </c>
      <c r="E185" s="2" t="str">
        <f t="shared" si="34"/>
        <v>ぴ</v>
      </c>
      <c r="F185" s="2"/>
      <c r="G185" s="2"/>
      <c r="K185" t="str">
        <f t="shared" si="35"/>
        <v>case L'ぴ': bmcode = 0x00A3; break;</v>
      </c>
    </row>
    <row r="186" spans="2:11" ht="26.5" customHeight="1">
      <c r="B186" s="2">
        <v>164</v>
      </c>
      <c r="C186" s="2">
        <f t="shared" si="36"/>
        <v>10</v>
      </c>
      <c r="D186" s="2">
        <f t="shared" si="33"/>
        <v>4</v>
      </c>
      <c r="E186" s="2" t="str">
        <f t="shared" si="34"/>
        <v>ぷ</v>
      </c>
      <c r="F186" s="2"/>
      <c r="G186" s="2"/>
      <c r="K186" t="str">
        <f t="shared" si="35"/>
        <v>case L'ぷ': bmcode = 0x00A4; break;</v>
      </c>
    </row>
    <row r="187" spans="2:11" ht="26.5" customHeight="1">
      <c r="B187" s="2">
        <v>165</v>
      </c>
      <c r="C187" s="2">
        <f t="shared" si="36"/>
        <v>10</v>
      </c>
      <c r="D187" s="2">
        <f t="shared" si="33"/>
        <v>5</v>
      </c>
      <c r="E187" s="2" t="str">
        <f t="shared" si="34"/>
        <v>ぺ</v>
      </c>
      <c r="F187" s="2"/>
      <c r="G187" s="2"/>
      <c r="K187" t="str">
        <f t="shared" si="35"/>
        <v>case L'ぺ': bmcode = 0x00A5; break;</v>
      </c>
    </row>
    <row r="188" spans="2:11" ht="26.5" customHeight="1">
      <c r="B188" s="2">
        <v>166</v>
      </c>
      <c r="C188" s="2">
        <f t="shared" si="36"/>
        <v>10</v>
      </c>
      <c r="D188" s="2">
        <f t="shared" si="33"/>
        <v>6</v>
      </c>
      <c r="E188" s="2" t="str">
        <f t="shared" si="34"/>
        <v>ぽ</v>
      </c>
      <c r="F188" s="2"/>
      <c r="G188" s="2"/>
      <c r="K188" t="str">
        <f t="shared" si="35"/>
        <v>case L'ぽ': bmcode = 0x00A6; break;</v>
      </c>
    </row>
    <row r="189" spans="2:11" ht="26.5" customHeight="1">
      <c r="B189" s="2">
        <v>167</v>
      </c>
      <c r="C189" s="2">
        <f t="shared" si="36"/>
        <v>10</v>
      </c>
      <c r="D189" s="2">
        <f t="shared" si="33"/>
        <v>7</v>
      </c>
      <c r="E189" s="2" t="str">
        <f t="shared" si="34"/>
        <v>ぁ</v>
      </c>
      <c r="F189" s="2"/>
      <c r="G189" s="2"/>
      <c r="K189" t="str">
        <f t="shared" si="35"/>
        <v>case L'ぁ': bmcode = 0x00A7; break;</v>
      </c>
    </row>
    <row r="190" spans="2:11" ht="26.5" customHeight="1">
      <c r="B190" s="2">
        <v>168</v>
      </c>
      <c r="C190" s="2">
        <f t="shared" si="36"/>
        <v>10</v>
      </c>
      <c r="D190" s="2">
        <f t="shared" si="33"/>
        <v>8</v>
      </c>
      <c r="E190" s="2" t="str">
        <f t="shared" si="34"/>
        <v>ぃ</v>
      </c>
      <c r="F190" s="2"/>
      <c r="G190" s="2"/>
      <c r="K190" t="str">
        <f t="shared" si="35"/>
        <v>case L'ぃ': bmcode = 0x00A8; break;</v>
      </c>
    </row>
    <row r="191" spans="2:11" ht="26.5" customHeight="1">
      <c r="B191" s="2">
        <v>169</v>
      </c>
      <c r="C191" s="2">
        <f t="shared" si="36"/>
        <v>10</v>
      </c>
      <c r="D191" s="2">
        <f t="shared" si="33"/>
        <v>9</v>
      </c>
      <c r="E191" s="2" t="str">
        <f t="shared" si="34"/>
        <v>ぅ</v>
      </c>
      <c r="F191" s="2"/>
      <c r="G191" s="2"/>
      <c r="K191" t="str">
        <f t="shared" si="35"/>
        <v>case L'ぅ': bmcode = 0x00A9; break;</v>
      </c>
    </row>
    <row r="192" spans="2:11" ht="26.5" customHeight="1">
      <c r="B192" s="2">
        <v>170</v>
      </c>
      <c r="C192" s="2">
        <f t="shared" si="36"/>
        <v>10</v>
      </c>
      <c r="D192" s="2">
        <f t="shared" si="33"/>
        <v>10</v>
      </c>
      <c r="E192" s="2" t="str">
        <f t="shared" si="34"/>
        <v>ぇ</v>
      </c>
      <c r="F192" s="2"/>
      <c r="G192" s="2"/>
      <c r="K192" t="str">
        <f t="shared" si="35"/>
        <v>case L'ぇ': bmcode = 0x00AA; break;</v>
      </c>
    </row>
    <row r="193" spans="2:11" ht="26.5" customHeight="1">
      <c r="B193" s="2">
        <v>171</v>
      </c>
      <c r="C193" s="2">
        <f t="shared" si="36"/>
        <v>10</v>
      </c>
      <c r="D193" s="2">
        <f t="shared" si="33"/>
        <v>11</v>
      </c>
      <c r="E193" s="2" t="str">
        <f t="shared" si="34"/>
        <v>ぉ</v>
      </c>
      <c r="F193" s="2"/>
      <c r="G193" s="2"/>
      <c r="K193" t="str">
        <f t="shared" si="35"/>
        <v>case L'ぉ': bmcode = 0x00AB; break;</v>
      </c>
    </row>
    <row r="194" spans="2:11" ht="26.5" customHeight="1">
      <c r="B194" s="2">
        <v>172</v>
      </c>
      <c r="C194" s="2">
        <f t="shared" si="36"/>
        <v>10</v>
      </c>
      <c r="D194" s="2">
        <f t="shared" si="33"/>
        <v>12</v>
      </c>
      <c r="E194" s="2" t="str">
        <f t="shared" si="34"/>
        <v>っ</v>
      </c>
      <c r="F194" s="2"/>
      <c r="G194" s="2"/>
      <c r="K194" t="str">
        <f t="shared" si="35"/>
        <v>case L'っ': bmcode = 0x00AC; break;</v>
      </c>
    </row>
    <row r="195" spans="2:11" ht="26.5" customHeight="1">
      <c r="B195" s="2">
        <v>173</v>
      </c>
      <c r="C195" s="2">
        <f t="shared" si="36"/>
        <v>10</v>
      </c>
      <c r="D195" s="2">
        <f t="shared" si="33"/>
        <v>13</v>
      </c>
      <c r="E195" s="2" t="str">
        <f t="shared" si="34"/>
        <v>ゃ</v>
      </c>
      <c r="F195" s="2"/>
      <c r="G195" s="2"/>
      <c r="K195" t="str">
        <f t="shared" si="35"/>
        <v>case L'ゃ': bmcode = 0x00AD; break;</v>
      </c>
    </row>
    <row r="196" spans="2:11" ht="26.5" customHeight="1">
      <c r="B196" s="2">
        <v>174</v>
      </c>
      <c r="C196" s="2">
        <f t="shared" si="36"/>
        <v>10</v>
      </c>
      <c r="D196" s="2">
        <f t="shared" si="33"/>
        <v>14</v>
      </c>
      <c r="E196" s="2" t="str">
        <f t="shared" si="34"/>
        <v>ゅ</v>
      </c>
      <c r="F196" s="2"/>
      <c r="G196" s="2"/>
      <c r="K196" t="str">
        <f t="shared" si="35"/>
        <v>case L'ゅ': bmcode = 0x00AE; break;</v>
      </c>
    </row>
    <row r="197" spans="2:11" ht="26.5" customHeight="1">
      <c r="B197" s="2">
        <v>175</v>
      </c>
      <c r="C197" s="2">
        <f t="shared" si="36"/>
        <v>10</v>
      </c>
      <c r="D197" s="2">
        <f t="shared" si="33"/>
        <v>15</v>
      </c>
      <c r="E197" s="2" t="str">
        <f t="shared" si="34"/>
        <v>ょ</v>
      </c>
      <c r="F197" s="2"/>
      <c r="G197" s="2"/>
      <c r="K197" t="str">
        <f t="shared" si="35"/>
        <v>case L'ょ': bmcode = 0x00AF; break;</v>
      </c>
    </row>
    <row r="198" spans="2:11" ht="26.5" customHeight="1">
      <c r="B198" s="2">
        <v>176</v>
      </c>
      <c r="C198" s="2">
        <f t="shared" si="36"/>
        <v>11</v>
      </c>
      <c r="D198" s="2">
        <f t="shared" si="33"/>
        <v>0</v>
      </c>
      <c r="E198" s="2" t="str">
        <f t="shared" si="34"/>
        <v>ア</v>
      </c>
      <c r="F198" s="2"/>
      <c r="G198" s="2"/>
      <c r="K198" t="str">
        <f t="shared" si="35"/>
        <v>case L'ア': bmcode = 0x00B0; break;</v>
      </c>
    </row>
    <row r="199" spans="2:11" ht="26.5" customHeight="1">
      <c r="B199" s="2">
        <v>177</v>
      </c>
      <c r="C199" s="2">
        <f t="shared" si="36"/>
        <v>11</v>
      </c>
      <c r="D199" s="2">
        <f t="shared" si="33"/>
        <v>1</v>
      </c>
      <c r="E199" s="2" t="str">
        <f t="shared" si="34"/>
        <v>イ</v>
      </c>
      <c r="F199" s="2"/>
      <c r="G199" s="2"/>
      <c r="K199" t="str">
        <f t="shared" si="35"/>
        <v>case L'イ': bmcode = 0x00B1; break;</v>
      </c>
    </row>
    <row r="200" spans="2:11" ht="26.5" customHeight="1">
      <c r="B200" s="2">
        <v>178</v>
      </c>
      <c r="C200" s="2">
        <f t="shared" si="36"/>
        <v>11</v>
      </c>
      <c r="D200" s="2">
        <f t="shared" si="33"/>
        <v>2</v>
      </c>
      <c r="E200" s="2" t="str">
        <f t="shared" si="34"/>
        <v>ウ</v>
      </c>
      <c r="F200" s="2"/>
      <c r="G200" s="2"/>
      <c r="K200" t="str">
        <f t="shared" si="35"/>
        <v>case L'ウ': bmcode = 0x00B2; break;</v>
      </c>
    </row>
    <row r="201" spans="2:11" ht="26.5" customHeight="1">
      <c r="B201" s="2">
        <v>179</v>
      </c>
      <c r="C201" s="2">
        <f t="shared" si="36"/>
        <v>11</v>
      </c>
      <c r="D201" s="2">
        <f t="shared" si="33"/>
        <v>3</v>
      </c>
      <c r="E201" s="2" t="str">
        <f t="shared" si="34"/>
        <v>エ</v>
      </c>
      <c r="F201" s="2"/>
      <c r="G201" s="2"/>
      <c r="K201" t="str">
        <f t="shared" si="35"/>
        <v>case L'エ': bmcode = 0x00B3; break;</v>
      </c>
    </row>
    <row r="202" spans="2:11" ht="26.5" customHeight="1">
      <c r="B202" s="2">
        <v>180</v>
      </c>
      <c r="C202" s="2">
        <f t="shared" si="36"/>
        <v>11</v>
      </c>
      <c r="D202" s="2">
        <f t="shared" si="33"/>
        <v>4</v>
      </c>
      <c r="E202" s="2" t="str">
        <f t="shared" si="34"/>
        <v>オ</v>
      </c>
      <c r="F202" s="2"/>
      <c r="G202" s="2"/>
      <c r="K202" t="str">
        <f t="shared" si="35"/>
        <v>case L'オ': bmcode = 0x00B4; break;</v>
      </c>
    </row>
    <row r="203" spans="2:11" ht="26.5" customHeight="1">
      <c r="B203" s="2">
        <v>181</v>
      </c>
      <c r="C203" s="2">
        <f t="shared" si="36"/>
        <v>11</v>
      </c>
      <c r="D203" s="2">
        <f t="shared" si="33"/>
        <v>5</v>
      </c>
      <c r="E203" s="2" t="str">
        <f t="shared" si="34"/>
        <v>カ</v>
      </c>
      <c r="F203" s="2"/>
      <c r="G203" s="2"/>
      <c r="K203" t="str">
        <f t="shared" si="35"/>
        <v>case L'カ': bmcode = 0x00B5; break;</v>
      </c>
    </row>
    <row r="204" spans="2:11" ht="26.5" customHeight="1">
      <c r="B204" s="2">
        <v>182</v>
      </c>
      <c r="C204" s="2">
        <f t="shared" si="36"/>
        <v>11</v>
      </c>
      <c r="D204" s="2">
        <f t="shared" si="33"/>
        <v>6</v>
      </c>
      <c r="E204" s="2" t="str">
        <f t="shared" si="34"/>
        <v>キ</v>
      </c>
      <c r="F204" s="2"/>
      <c r="G204" s="2"/>
      <c r="K204" t="str">
        <f t="shared" si="35"/>
        <v>case L'キ': bmcode = 0x00B6; break;</v>
      </c>
    </row>
    <row r="205" spans="2:11" ht="26.5" customHeight="1">
      <c r="B205" s="2">
        <v>183</v>
      </c>
      <c r="C205" s="2">
        <f t="shared" si="36"/>
        <v>11</v>
      </c>
      <c r="D205" s="2">
        <f t="shared" si="33"/>
        <v>7</v>
      </c>
      <c r="E205" s="2" t="str">
        <f t="shared" si="34"/>
        <v>ク</v>
      </c>
      <c r="F205" s="2"/>
      <c r="G205" s="2"/>
      <c r="K205" t="str">
        <f t="shared" si="35"/>
        <v>case L'ク': bmcode = 0x00B7; break;</v>
      </c>
    </row>
    <row r="206" spans="2:11" ht="26.5" customHeight="1">
      <c r="B206" s="2">
        <v>184</v>
      </c>
      <c r="C206" s="2">
        <f t="shared" si="36"/>
        <v>11</v>
      </c>
      <c r="D206" s="2">
        <f t="shared" si="33"/>
        <v>8</v>
      </c>
      <c r="E206" s="2" t="str">
        <f t="shared" si="34"/>
        <v>ケ</v>
      </c>
      <c r="F206" s="2"/>
      <c r="G206" s="2"/>
      <c r="K206" t="str">
        <f t="shared" si="35"/>
        <v>case L'ケ': bmcode = 0x00B8; break;</v>
      </c>
    </row>
    <row r="207" spans="2:11" ht="26.5" customHeight="1">
      <c r="B207" s="2">
        <v>185</v>
      </c>
      <c r="C207" s="2">
        <f t="shared" si="36"/>
        <v>11</v>
      </c>
      <c r="D207" s="2">
        <f t="shared" si="33"/>
        <v>9</v>
      </c>
      <c r="E207" s="2" t="str">
        <f t="shared" si="34"/>
        <v>コ</v>
      </c>
      <c r="F207" s="2"/>
      <c r="G207" s="2"/>
      <c r="K207" t="str">
        <f t="shared" si="35"/>
        <v>case L'コ': bmcode = 0x00B9; break;</v>
      </c>
    </row>
    <row r="208" spans="2:11" ht="26.5" customHeight="1">
      <c r="B208" s="2">
        <v>186</v>
      </c>
      <c r="C208" s="2">
        <f t="shared" si="36"/>
        <v>11</v>
      </c>
      <c r="D208" s="2">
        <f t="shared" si="33"/>
        <v>10</v>
      </c>
      <c r="E208" s="2" t="str">
        <f t="shared" si="34"/>
        <v>サ</v>
      </c>
      <c r="F208" s="2"/>
      <c r="G208" s="2"/>
      <c r="K208" t="str">
        <f t="shared" si="35"/>
        <v>case L'サ': bmcode = 0x00BA; break;</v>
      </c>
    </row>
    <row r="209" spans="2:11" ht="26.5" customHeight="1">
      <c r="B209" s="2">
        <v>187</v>
      </c>
      <c r="C209" s="2">
        <f t="shared" si="36"/>
        <v>11</v>
      </c>
      <c r="D209" s="2">
        <f t="shared" si="33"/>
        <v>11</v>
      </c>
      <c r="E209" s="2" t="str">
        <f t="shared" si="34"/>
        <v>シ</v>
      </c>
      <c r="F209" s="2"/>
      <c r="G209" s="2"/>
      <c r="K209" t="str">
        <f t="shared" si="35"/>
        <v>case L'シ': bmcode = 0x00BB; break;</v>
      </c>
    </row>
    <row r="210" spans="2:11" ht="26.5" customHeight="1">
      <c r="B210" s="2">
        <v>188</v>
      </c>
      <c r="C210" s="2">
        <f t="shared" si="36"/>
        <v>11</v>
      </c>
      <c r="D210" s="2">
        <f t="shared" si="33"/>
        <v>12</v>
      </c>
      <c r="E210" s="2" t="str">
        <f t="shared" si="34"/>
        <v>ス</v>
      </c>
      <c r="F210" s="2"/>
      <c r="G210" s="2"/>
      <c r="K210" t="str">
        <f t="shared" si="35"/>
        <v>case L'ス': bmcode = 0x00BC; break;</v>
      </c>
    </row>
    <row r="211" spans="2:11" ht="26.5" customHeight="1">
      <c r="B211" s="2">
        <v>189</v>
      </c>
      <c r="C211" s="2">
        <f t="shared" si="36"/>
        <v>11</v>
      </c>
      <c r="D211" s="2">
        <f t="shared" si="33"/>
        <v>13</v>
      </c>
      <c r="E211" s="2" t="str">
        <f t="shared" si="34"/>
        <v>セ</v>
      </c>
      <c r="F211" s="2"/>
      <c r="G211" s="2"/>
      <c r="K211" t="str">
        <f t="shared" si="35"/>
        <v>case L'セ': bmcode = 0x00BD; break;</v>
      </c>
    </row>
    <row r="212" spans="2:11" ht="26.5" customHeight="1">
      <c r="B212" s="2">
        <v>190</v>
      </c>
      <c r="C212" s="2">
        <f t="shared" si="36"/>
        <v>11</v>
      </c>
      <c r="D212" s="2">
        <f t="shared" si="33"/>
        <v>14</v>
      </c>
      <c r="E212" s="2" t="str">
        <f t="shared" si="34"/>
        <v>ソ</v>
      </c>
      <c r="F212" s="2"/>
      <c r="G212" s="2"/>
      <c r="K212" t="str">
        <f t="shared" si="35"/>
        <v>case L'ソ': bmcode = 0x00BE; break;</v>
      </c>
    </row>
    <row r="213" spans="2:11" ht="26.5" customHeight="1">
      <c r="B213" s="2">
        <v>191</v>
      </c>
      <c r="C213" s="2">
        <f t="shared" si="36"/>
        <v>11</v>
      </c>
      <c r="D213" s="2">
        <f t="shared" si="33"/>
        <v>15</v>
      </c>
      <c r="E213" s="2" t="str">
        <f t="shared" si="34"/>
        <v>タ</v>
      </c>
      <c r="F213" s="2"/>
      <c r="G213" s="2"/>
      <c r="K213" t="str">
        <f t="shared" si="35"/>
        <v>case L'タ': bmcode = 0x00BF; break;</v>
      </c>
    </row>
    <row r="214" spans="2:11" ht="26.5" customHeight="1">
      <c r="B214" s="2">
        <v>192</v>
      </c>
      <c r="C214" s="2">
        <f t="shared" si="36"/>
        <v>12</v>
      </c>
      <c r="D214" s="2">
        <f t="shared" si="33"/>
        <v>0</v>
      </c>
      <c r="E214" s="2" t="str">
        <f t="shared" si="34"/>
        <v>チ</v>
      </c>
      <c r="F214" s="2"/>
      <c r="G214" s="2"/>
      <c r="K214" t="str">
        <f t="shared" si="35"/>
        <v>case L'チ': bmcode = 0x00C0; break;</v>
      </c>
    </row>
    <row r="215" spans="2:11" ht="26.5" customHeight="1">
      <c r="B215" s="2">
        <v>193</v>
      </c>
      <c r="C215" s="2">
        <f t="shared" si="36"/>
        <v>12</v>
      </c>
      <c r="D215" s="2">
        <f t="shared" ref="D215:D277" si="37">MOD(B215,16)</f>
        <v>1</v>
      </c>
      <c r="E215" s="2" t="str">
        <f t="shared" ref="E215:E277" si="38">IF(INDEX($C$3:$R$18,C215+1,D215+1)="","",INDEX($C$3:$R$18,C215+1,D215+1))</f>
        <v>ツ</v>
      </c>
      <c r="F215" s="2"/>
      <c r="G215" s="2"/>
      <c r="K215" t="str">
        <f t="shared" ref="K215:K277" si="39">"case "&amp;"L'"&amp;E215&amp;"'"&amp;": "&amp;"bmcode = 0x"&amp;RIGHT("0000"&amp;DEC2HEX(C215*16+D215),4)&amp;"; break;"</f>
        <v>case L'ツ': bmcode = 0x00C1; break;</v>
      </c>
    </row>
    <row r="216" spans="2:11" ht="26.5" customHeight="1">
      <c r="B216" s="2">
        <v>194</v>
      </c>
      <c r="C216" s="2">
        <f t="shared" si="36"/>
        <v>12</v>
      </c>
      <c r="D216" s="2">
        <f t="shared" si="37"/>
        <v>2</v>
      </c>
      <c r="E216" s="2" t="str">
        <f t="shared" si="38"/>
        <v>テ</v>
      </c>
      <c r="F216" s="2"/>
      <c r="G216" s="2"/>
      <c r="K216" t="str">
        <f t="shared" si="39"/>
        <v>case L'テ': bmcode = 0x00C2; break;</v>
      </c>
    </row>
    <row r="217" spans="2:11" ht="26.5" customHeight="1">
      <c r="B217" s="2">
        <v>195</v>
      </c>
      <c r="C217" s="2">
        <f t="shared" si="36"/>
        <v>12</v>
      </c>
      <c r="D217" s="2">
        <f t="shared" si="37"/>
        <v>3</v>
      </c>
      <c r="E217" s="2" t="str">
        <f t="shared" si="38"/>
        <v>ト</v>
      </c>
      <c r="F217" s="2"/>
      <c r="G217" s="2"/>
      <c r="K217" t="str">
        <f t="shared" si="39"/>
        <v>case L'ト': bmcode = 0x00C3; break;</v>
      </c>
    </row>
    <row r="218" spans="2:11" ht="26.5" customHeight="1">
      <c r="B218" s="2">
        <v>196</v>
      </c>
      <c r="C218" s="2">
        <f t="shared" si="36"/>
        <v>12</v>
      </c>
      <c r="D218" s="2">
        <f t="shared" si="37"/>
        <v>4</v>
      </c>
      <c r="E218" s="2" t="str">
        <f t="shared" si="38"/>
        <v>ナ</v>
      </c>
      <c r="F218" s="2"/>
      <c r="G218" s="2"/>
      <c r="K218" t="str">
        <f t="shared" si="39"/>
        <v>case L'ナ': bmcode = 0x00C4; break;</v>
      </c>
    </row>
    <row r="219" spans="2:11" ht="26.5" customHeight="1">
      <c r="B219" s="2">
        <v>197</v>
      </c>
      <c r="C219" s="2">
        <f t="shared" si="36"/>
        <v>12</v>
      </c>
      <c r="D219" s="2">
        <f t="shared" si="37"/>
        <v>5</v>
      </c>
      <c r="E219" s="2" t="str">
        <f t="shared" si="38"/>
        <v>ニ</v>
      </c>
      <c r="F219" s="2"/>
      <c r="G219" s="2"/>
      <c r="K219" t="str">
        <f t="shared" si="39"/>
        <v>case L'ニ': bmcode = 0x00C5; break;</v>
      </c>
    </row>
    <row r="220" spans="2:11" ht="26.5" customHeight="1">
      <c r="B220" s="2">
        <v>198</v>
      </c>
      <c r="C220" s="2">
        <f t="shared" si="36"/>
        <v>12</v>
      </c>
      <c r="D220" s="2">
        <f t="shared" si="37"/>
        <v>6</v>
      </c>
      <c r="E220" s="2" t="str">
        <f t="shared" si="38"/>
        <v>ヌ</v>
      </c>
      <c r="F220" s="2"/>
      <c r="G220" s="2"/>
      <c r="K220" t="str">
        <f t="shared" si="39"/>
        <v>case L'ヌ': bmcode = 0x00C6; break;</v>
      </c>
    </row>
    <row r="221" spans="2:11" ht="26.5" customHeight="1">
      <c r="B221" s="2">
        <v>199</v>
      </c>
      <c r="C221" s="2">
        <f t="shared" si="36"/>
        <v>12</v>
      </c>
      <c r="D221" s="2">
        <f t="shared" si="37"/>
        <v>7</v>
      </c>
      <c r="E221" s="2" t="str">
        <f t="shared" si="38"/>
        <v>ネ</v>
      </c>
      <c r="F221" s="2"/>
      <c r="G221" s="2"/>
      <c r="K221" t="str">
        <f t="shared" si="39"/>
        <v>case L'ネ': bmcode = 0x00C7; break;</v>
      </c>
    </row>
    <row r="222" spans="2:11" ht="26.5" customHeight="1">
      <c r="B222" s="2">
        <v>200</v>
      </c>
      <c r="C222" s="2">
        <f t="shared" si="36"/>
        <v>12</v>
      </c>
      <c r="D222" s="2">
        <f t="shared" si="37"/>
        <v>8</v>
      </c>
      <c r="E222" s="2" t="str">
        <f t="shared" si="38"/>
        <v>ノ</v>
      </c>
      <c r="F222" s="2"/>
      <c r="G222" s="2"/>
      <c r="K222" t="str">
        <f t="shared" si="39"/>
        <v>case L'ノ': bmcode = 0x00C8; break;</v>
      </c>
    </row>
    <row r="223" spans="2:11" ht="26.5" customHeight="1">
      <c r="B223" s="2">
        <v>201</v>
      </c>
      <c r="C223" s="2">
        <f t="shared" ref="C223:C277" si="40">ROUNDDOWN(B223/16,0)</f>
        <v>12</v>
      </c>
      <c r="D223" s="2">
        <f t="shared" si="37"/>
        <v>9</v>
      </c>
      <c r="E223" s="2" t="str">
        <f t="shared" si="38"/>
        <v>ハ</v>
      </c>
      <c r="F223" s="2"/>
      <c r="G223" s="2"/>
      <c r="K223" t="str">
        <f t="shared" si="39"/>
        <v>case L'ハ': bmcode = 0x00C9; break;</v>
      </c>
    </row>
    <row r="224" spans="2:11" ht="26.5" customHeight="1">
      <c r="B224" s="2">
        <v>202</v>
      </c>
      <c r="C224" s="2">
        <f t="shared" si="40"/>
        <v>12</v>
      </c>
      <c r="D224" s="2">
        <f t="shared" si="37"/>
        <v>10</v>
      </c>
      <c r="E224" s="2" t="str">
        <f t="shared" si="38"/>
        <v>ヒ</v>
      </c>
      <c r="F224" s="2"/>
      <c r="G224" s="2"/>
      <c r="K224" t="str">
        <f t="shared" si="39"/>
        <v>case L'ヒ': bmcode = 0x00CA; break;</v>
      </c>
    </row>
    <row r="225" spans="2:11" ht="26.5" customHeight="1">
      <c r="B225" s="2">
        <v>203</v>
      </c>
      <c r="C225" s="2">
        <f t="shared" si="40"/>
        <v>12</v>
      </c>
      <c r="D225" s="2">
        <f t="shared" si="37"/>
        <v>11</v>
      </c>
      <c r="E225" s="2" t="str">
        <f t="shared" si="38"/>
        <v>フ</v>
      </c>
      <c r="F225" s="2"/>
      <c r="G225" s="2"/>
      <c r="K225" t="str">
        <f t="shared" si="39"/>
        <v>case L'フ': bmcode = 0x00CB; break;</v>
      </c>
    </row>
    <row r="226" spans="2:11" ht="26.5" customHeight="1">
      <c r="B226" s="2">
        <v>204</v>
      </c>
      <c r="C226" s="2">
        <f t="shared" si="40"/>
        <v>12</v>
      </c>
      <c r="D226" s="2">
        <f t="shared" si="37"/>
        <v>12</v>
      </c>
      <c r="E226" s="2" t="str">
        <f t="shared" si="38"/>
        <v>ヘ</v>
      </c>
      <c r="F226" s="2"/>
      <c r="G226" s="2"/>
      <c r="K226" t="str">
        <f t="shared" si="39"/>
        <v>case L'ヘ': bmcode = 0x00CC; break;</v>
      </c>
    </row>
    <row r="227" spans="2:11" ht="26.5" customHeight="1">
      <c r="B227" s="2">
        <v>205</v>
      </c>
      <c r="C227" s="2">
        <f t="shared" si="40"/>
        <v>12</v>
      </c>
      <c r="D227" s="2">
        <f t="shared" si="37"/>
        <v>13</v>
      </c>
      <c r="E227" s="2" t="str">
        <f t="shared" si="38"/>
        <v>ホ</v>
      </c>
      <c r="F227" s="2"/>
      <c r="G227" s="2"/>
      <c r="K227" t="str">
        <f t="shared" si="39"/>
        <v>case L'ホ': bmcode = 0x00CD; break;</v>
      </c>
    </row>
    <row r="228" spans="2:11" ht="26.5" customHeight="1">
      <c r="B228" s="2">
        <v>206</v>
      </c>
      <c r="C228" s="2">
        <f t="shared" si="40"/>
        <v>12</v>
      </c>
      <c r="D228" s="2">
        <f t="shared" si="37"/>
        <v>14</v>
      </c>
      <c r="E228" s="2" t="str">
        <f t="shared" si="38"/>
        <v>マ</v>
      </c>
      <c r="F228" s="2"/>
      <c r="G228" s="2"/>
      <c r="K228" t="str">
        <f t="shared" si="39"/>
        <v>case L'マ': bmcode = 0x00CE; break;</v>
      </c>
    </row>
    <row r="229" spans="2:11" ht="26.5" customHeight="1">
      <c r="B229" s="2">
        <v>207</v>
      </c>
      <c r="C229" s="2">
        <f t="shared" si="40"/>
        <v>12</v>
      </c>
      <c r="D229" s="2">
        <f t="shared" si="37"/>
        <v>15</v>
      </c>
      <c r="E229" s="2" t="str">
        <f t="shared" si="38"/>
        <v>ミ</v>
      </c>
      <c r="F229" s="2"/>
      <c r="G229" s="2"/>
      <c r="K229" t="str">
        <f t="shared" si="39"/>
        <v>case L'ミ': bmcode = 0x00CF; break;</v>
      </c>
    </row>
    <row r="230" spans="2:11" ht="26.5" customHeight="1">
      <c r="B230" s="2">
        <v>208</v>
      </c>
      <c r="C230" s="2">
        <f t="shared" si="40"/>
        <v>13</v>
      </c>
      <c r="D230" s="2">
        <f t="shared" si="37"/>
        <v>0</v>
      </c>
      <c r="E230" s="2" t="str">
        <f t="shared" si="38"/>
        <v>ム</v>
      </c>
      <c r="F230" s="2"/>
      <c r="G230" s="2"/>
      <c r="K230" t="str">
        <f t="shared" si="39"/>
        <v>case L'ム': bmcode = 0x00D0; break;</v>
      </c>
    </row>
    <row r="231" spans="2:11" ht="26.5" customHeight="1">
      <c r="B231" s="2">
        <v>209</v>
      </c>
      <c r="C231" s="2">
        <f t="shared" si="40"/>
        <v>13</v>
      </c>
      <c r="D231" s="2">
        <f t="shared" si="37"/>
        <v>1</v>
      </c>
      <c r="E231" s="2" t="str">
        <f t="shared" si="38"/>
        <v>メ</v>
      </c>
      <c r="F231" s="2"/>
      <c r="G231" s="2"/>
      <c r="K231" t="str">
        <f t="shared" si="39"/>
        <v>case L'メ': bmcode = 0x00D1; break;</v>
      </c>
    </row>
    <row r="232" spans="2:11" ht="26.5" customHeight="1">
      <c r="B232" s="2">
        <v>210</v>
      </c>
      <c r="C232" s="2">
        <f t="shared" si="40"/>
        <v>13</v>
      </c>
      <c r="D232" s="2">
        <f t="shared" si="37"/>
        <v>2</v>
      </c>
      <c r="E232" s="2" t="str">
        <f t="shared" si="38"/>
        <v>モ</v>
      </c>
      <c r="F232" s="2"/>
      <c r="G232" s="2"/>
      <c r="K232" t="str">
        <f t="shared" si="39"/>
        <v>case L'モ': bmcode = 0x00D2; break;</v>
      </c>
    </row>
    <row r="233" spans="2:11" ht="26.5" customHeight="1">
      <c r="B233" s="2">
        <v>211</v>
      </c>
      <c r="C233" s="2">
        <f t="shared" si="40"/>
        <v>13</v>
      </c>
      <c r="D233" s="2">
        <f t="shared" si="37"/>
        <v>3</v>
      </c>
      <c r="E233" s="2" t="str">
        <f t="shared" si="38"/>
        <v>ヤ</v>
      </c>
      <c r="F233" s="2"/>
      <c r="G233" s="2"/>
      <c r="K233" t="str">
        <f t="shared" si="39"/>
        <v>case L'ヤ': bmcode = 0x00D3; break;</v>
      </c>
    </row>
    <row r="234" spans="2:11" ht="26.5" customHeight="1">
      <c r="B234" s="2">
        <v>212</v>
      </c>
      <c r="C234" s="2">
        <f t="shared" si="40"/>
        <v>13</v>
      </c>
      <c r="D234" s="2">
        <f t="shared" si="37"/>
        <v>4</v>
      </c>
      <c r="E234" s="2" t="str">
        <f t="shared" si="38"/>
        <v>ユ</v>
      </c>
      <c r="F234" s="2"/>
      <c r="G234" s="2"/>
      <c r="K234" t="str">
        <f t="shared" si="39"/>
        <v>case L'ユ': bmcode = 0x00D4; break;</v>
      </c>
    </row>
    <row r="235" spans="2:11" ht="26.5" customHeight="1">
      <c r="B235" s="2">
        <v>213</v>
      </c>
      <c r="C235" s="2">
        <f t="shared" si="40"/>
        <v>13</v>
      </c>
      <c r="D235" s="2">
        <f t="shared" si="37"/>
        <v>5</v>
      </c>
      <c r="E235" s="2" t="str">
        <f t="shared" si="38"/>
        <v>ヨ</v>
      </c>
      <c r="F235" s="2"/>
      <c r="G235" s="2"/>
      <c r="K235" t="str">
        <f t="shared" si="39"/>
        <v>case L'ヨ': bmcode = 0x00D5; break;</v>
      </c>
    </row>
    <row r="236" spans="2:11" ht="26.5" customHeight="1">
      <c r="B236" s="2">
        <v>214</v>
      </c>
      <c r="C236" s="2">
        <f t="shared" si="40"/>
        <v>13</v>
      </c>
      <c r="D236" s="2">
        <f t="shared" si="37"/>
        <v>6</v>
      </c>
      <c r="E236" s="2" t="str">
        <f t="shared" si="38"/>
        <v>ラ</v>
      </c>
      <c r="F236" s="2"/>
      <c r="G236" s="2"/>
      <c r="K236" t="str">
        <f t="shared" si="39"/>
        <v>case L'ラ': bmcode = 0x00D6; break;</v>
      </c>
    </row>
    <row r="237" spans="2:11" ht="26.5" customHeight="1">
      <c r="B237" s="2">
        <v>215</v>
      </c>
      <c r="C237" s="2">
        <f t="shared" si="40"/>
        <v>13</v>
      </c>
      <c r="D237" s="2">
        <f t="shared" si="37"/>
        <v>7</v>
      </c>
      <c r="E237" s="2" t="str">
        <f t="shared" si="38"/>
        <v>リ</v>
      </c>
      <c r="F237" s="2"/>
      <c r="G237" s="2"/>
      <c r="K237" t="str">
        <f t="shared" si="39"/>
        <v>case L'リ': bmcode = 0x00D7; break;</v>
      </c>
    </row>
    <row r="238" spans="2:11" ht="26.5" customHeight="1">
      <c r="B238" s="2">
        <v>216</v>
      </c>
      <c r="C238" s="2">
        <f t="shared" si="40"/>
        <v>13</v>
      </c>
      <c r="D238" s="2">
        <f t="shared" si="37"/>
        <v>8</v>
      </c>
      <c r="E238" s="2" t="str">
        <f t="shared" si="38"/>
        <v>ル</v>
      </c>
      <c r="F238" s="2"/>
      <c r="G238" s="2"/>
      <c r="K238" t="str">
        <f t="shared" si="39"/>
        <v>case L'ル': bmcode = 0x00D8; break;</v>
      </c>
    </row>
    <row r="239" spans="2:11" ht="26.5" customHeight="1">
      <c r="B239" s="2">
        <v>217</v>
      </c>
      <c r="C239" s="2">
        <f t="shared" si="40"/>
        <v>13</v>
      </c>
      <c r="D239" s="2">
        <f t="shared" si="37"/>
        <v>9</v>
      </c>
      <c r="E239" s="2" t="str">
        <f t="shared" si="38"/>
        <v>レ</v>
      </c>
      <c r="F239" s="2"/>
      <c r="G239" s="2"/>
      <c r="K239" t="str">
        <f t="shared" si="39"/>
        <v>case L'レ': bmcode = 0x00D9; break;</v>
      </c>
    </row>
    <row r="240" spans="2:11" ht="26.5" customHeight="1">
      <c r="B240" s="2">
        <v>218</v>
      </c>
      <c r="C240" s="2">
        <f t="shared" si="40"/>
        <v>13</v>
      </c>
      <c r="D240" s="2">
        <f t="shared" si="37"/>
        <v>10</v>
      </c>
      <c r="E240" s="2" t="str">
        <f t="shared" si="38"/>
        <v>ロ</v>
      </c>
      <c r="F240" s="2"/>
      <c r="G240" s="2"/>
      <c r="K240" t="str">
        <f t="shared" si="39"/>
        <v>case L'ロ': bmcode = 0x00DA; break;</v>
      </c>
    </row>
    <row r="241" spans="2:11" ht="26.5" customHeight="1">
      <c r="B241" s="2">
        <v>219</v>
      </c>
      <c r="C241" s="2">
        <f t="shared" si="40"/>
        <v>13</v>
      </c>
      <c r="D241" s="2">
        <f t="shared" si="37"/>
        <v>11</v>
      </c>
      <c r="E241" s="2" t="str">
        <f t="shared" si="38"/>
        <v>ワ</v>
      </c>
      <c r="F241" s="2"/>
      <c r="G241" s="2"/>
      <c r="K241" t="str">
        <f t="shared" si="39"/>
        <v>case L'ワ': bmcode = 0x00DB; break;</v>
      </c>
    </row>
    <row r="242" spans="2:11" ht="26.5" customHeight="1">
      <c r="B242" s="2">
        <v>220</v>
      </c>
      <c r="C242" s="2">
        <f t="shared" si="40"/>
        <v>13</v>
      </c>
      <c r="D242" s="2">
        <f t="shared" si="37"/>
        <v>12</v>
      </c>
      <c r="E242" s="2" t="str">
        <f t="shared" si="38"/>
        <v>ヲ</v>
      </c>
      <c r="F242" s="2"/>
      <c r="G242" s="2"/>
      <c r="K242" t="str">
        <f t="shared" si="39"/>
        <v>case L'ヲ': bmcode = 0x00DC; break;</v>
      </c>
    </row>
    <row r="243" spans="2:11" ht="26.5" customHeight="1">
      <c r="B243" s="2">
        <v>221</v>
      </c>
      <c r="C243" s="2">
        <f t="shared" si="40"/>
        <v>13</v>
      </c>
      <c r="D243" s="2">
        <f t="shared" si="37"/>
        <v>13</v>
      </c>
      <c r="E243" s="2" t="str">
        <f t="shared" si="38"/>
        <v>ン</v>
      </c>
      <c r="F243" s="2"/>
      <c r="G243" s="2"/>
      <c r="K243" t="str">
        <f t="shared" si="39"/>
        <v>case L'ン': bmcode = 0x00DD; break;</v>
      </c>
    </row>
    <row r="244" spans="2:11" ht="26.5" customHeight="1">
      <c r="B244" s="2">
        <v>222</v>
      </c>
      <c r="C244" s="2">
        <f t="shared" si="40"/>
        <v>13</v>
      </c>
      <c r="D244" s="2">
        <f t="shared" si="37"/>
        <v>14</v>
      </c>
      <c r="E244" s="2" t="str">
        <f t="shared" si="38"/>
        <v>ガ</v>
      </c>
      <c r="F244" s="2"/>
      <c r="G244" s="2"/>
      <c r="K244" t="str">
        <f t="shared" si="39"/>
        <v>case L'ガ': bmcode = 0x00DE; break;</v>
      </c>
    </row>
    <row r="245" spans="2:11" ht="26.5" customHeight="1">
      <c r="B245" s="2">
        <v>223</v>
      </c>
      <c r="C245" s="2">
        <f t="shared" si="40"/>
        <v>13</v>
      </c>
      <c r="D245" s="2">
        <f t="shared" si="37"/>
        <v>15</v>
      </c>
      <c r="E245" s="2" t="str">
        <f t="shared" si="38"/>
        <v>ギ</v>
      </c>
      <c r="F245" s="2"/>
      <c r="G245" s="2"/>
      <c r="K245" t="str">
        <f t="shared" si="39"/>
        <v>case L'ギ': bmcode = 0x00DF; break;</v>
      </c>
    </row>
    <row r="246" spans="2:11" ht="26.5" customHeight="1">
      <c r="B246" s="2">
        <v>224</v>
      </c>
      <c r="C246" s="2">
        <f t="shared" si="40"/>
        <v>14</v>
      </c>
      <c r="D246" s="2">
        <f t="shared" si="37"/>
        <v>0</v>
      </c>
      <c r="E246" s="2" t="str">
        <f t="shared" si="38"/>
        <v>グ</v>
      </c>
      <c r="F246" s="2"/>
      <c r="G246" s="2"/>
      <c r="K246" t="str">
        <f t="shared" si="39"/>
        <v>case L'グ': bmcode = 0x00E0; break;</v>
      </c>
    </row>
    <row r="247" spans="2:11" ht="26.5" customHeight="1">
      <c r="B247" s="2">
        <v>225</v>
      </c>
      <c r="C247" s="2">
        <f t="shared" si="40"/>
        <v>14</v>
      </c>
      <c r="D247" s="2">
        <f t="shared" si="37"/>
        <v>1</v>
      </c>
      <c r="E247" s="2" t="str">
        <f t="shared" si="38"/>
        <v>ゲ</v>
      </c>
      <c r="F247" s="2"/>
      <c r="G247" s="2"/>
      <c r="K247" t="str">
        <f t="shared" si="39"/>
        <v>case L'ゲ': bmcode = 0x00E1; break;</v>
      </c>
    </row>
    <row r="248" spans="2:11" ht="26.5" customHeight="1">
      <c r="B248" s="2">
        <v>226</v>
      </c>
      <c r="C248" s="2">
        <f t="shared" si="40"/>
        <v>14</v>
      </c>
      <c r="D248" s="2">
        <f t="shared" si="37"/>
        <v>2</v>
      </c>
      <c r="E248" s="2" t="str">
        <f t="shared" si="38"/>
        <v>ゴ</v>
      </c>
      <c r="F248" s="2"/>
      <c r="G248" s="2"/>
      <c r="K248" t="str">
        <f t="shared" si="39"/>
        <v>case L'ゴ': bmcode = 0x00E2; break;</v>
      </c>
    </row>
    <row r="249" spans="2:11" ht="26.5" customHeight="1">
      <c r="B249" s="2">
        <v>227</v>
      </c>
      <c r="C249" s="2">
        <f t="shared" si="40"/>
        <v>14</v>
      </c>
      <c r="D249" s="2">
        <f t="shared" si="37"/>
        <v>3</v>
      </c>
      <c r="E249" s="2" t="str">
        <f t="shared" si="38"/>
        <v>ザ</v>
      </c>
      <c r="F249" s="2"/>
      <c r="G249" s="2"/>
      <c r="K249" t="str">
        <f t="shared" si="39"/>
        <v>case L'ザ': bmcode = 0x00E3; break;</v>
      </c>
    </row>
    <row r="250" spans="2:11" ht="26.5" customHeight="1">
      <c r="B250" s="2">
        <v>228</v>
      </c>
      <c r="C250" s="2">
        <f t="shared" si="40"/>
        <v>14</v>
      </c>
      <c r="D250" s="2">
        <f t="shared" si="37"/>
        <v>4</v>
      </c>
      <c r="E250" s="2" t="str">
        <f t="shared" si="38"/>
        <v>ジ</v>
      </c>
      <c r="F250" s="2"/>
      <c r="G250" s="2"/>
      <c r="K250" t="str">
        <f t="shared" si="39"/>
        <v>case L'ジ': bmcode = 0x00E4; break;</v>
      </c>
    </row>
    <row r="251" spans="2:11" ht="26.5" customHeight="1">
      <c r="B251" s="2">
        <v>229</v>
      </c>
      <c r="C251" s="2">
        <f t="shared" si="40"/>
        <v>14</v>
      </c>
      <c r="D251" s="2">
        <f t="shared" si="37"/>
        <v>5</v>
      </c>
      <c r="E251" s="2" t="str">
        <f t="shared" si="38"/>
        <v>ズ</v>
      </c>
      <c r="F251" s="2"/>
      <c r="G251" s="2"/>
      <c r="K251" t="str">
        <f t="shared" si="39"/>
        <v>case L'ズ': bmcode = 0x00E5; break;</v>
      </c>
    </row>
    <row r="252" spans="2:11" ht="26.5" customHeight="1">
      <c r="B252" s="2">
        <v>230</v>
      </c>
      <c r="C252" s="2">
        <f t="shared" si="40"/>
        <v>14</v>
      </c>
      <c r="D252" s="2">
        <f t="shared" si="37"/>
        <v>6</v>
      </c>
      <c r="E252" s="2" t="str">
        <f t="shared" si="38"/>
        <v>ゼ</v>
      </c>
      <c r="F252" s="2"/>
      <c r="G252" s="2"/>
      <c r="K252" t="str">
        <f t="shared" si="39"/>
        <v>case L'ゼ': bmcode = 0x00E6; break;</v>
      </c>
    </row>
    <row r="253" spans="2:11" ht="26.5" customHeight="1">
      <c r="B253" s="2">
        <v>231</v>
      </c>
      <c r="C253" s="2">
        <f t="shared" si="40"/>
        <v>14</v>
      </c>
      <c r="D253" s="2">
        <f t="shared" si="37"/>
        <v>7</v>
      </c>
      <c r="E253" s="2" t="str">
        <f t="shared" si="38"/>
        <v>ゾ</v>
      </c>
      <c r="F253" s="2"/>
      <c r="G253" s="2"/>
      <c r="K253" t="str">
        <f t="shared" si="39"/>
        <v>case L'ゾ': bmcode = 0x00E7; break;</v>
      </c>
    </row>
    <row r="254" spans="2:11" ht="26.5" customHeight="1">
      <c r="B254" s="2">
        <v>232</v>
      </c>
      <c r="C254" s="2">
        <f t="shared" si="40"/>
        <v>14</v>
      </c>
      <c r="D254" s="2">
        <f t="shared" si="37"/>
        <v>8</v>
      </c>
      <c r="E254" s="2" t="str">
        <f t="shared" si="38"/>
        <v>ダ</v>
      </c>
      <c r="F254" s="2"/>
      <c r="G254" s="2"/>
      <c r="K254" t="str">
        <f t="shared" si="39"/>
        <v>case L'ダ': bmcode = 0x00E8; break;</v>
      </c>
    </row>
    <row r="255" spans="2:11" ht="26.5" customHeight="1">
      <c r="B255" s="2">
        <v>233</v>
      </c>
      <c r="C255" s="2">
        <f t="shared" si="40"/>
        <v>14</v>
      </c>
      <c r="D255" s="2">
        <f t="shared" si="37"/>
        <v>9</v>
      </c>
      <c r="E255" s="2" t="str">
        <f t="shared" si="38"/>
        <v>ヂ</v>
      </c>
      <c r="F255" s="2"/>
      <c r="G255" s="2"/>
      <c r="K255" t="str">
        <f t="shared" si="39"/>
        <v>case L'ヂ': bmcode = 0x00E9; break;</v>
      </c>
    </row>
    <row r="256" spans="2:11" ht="26.5" customHeight="1">
      <c r="B256" s="2">
        <v>234</v>
      </c>
      <c r="C256" s="2">
        <f t="shared" si="40"/>
        <v>14</v>
      </c>
      <c r="D256" s="2">
        <f t="shared" si="37"/>
        <v>10</v>
      </c>
      <c r="E256" s="2" t="str">
        <f t="shared" si="38"/>
        <v>ヅ</v>
      </c>
      <c r="F256" s="2"/>
      <c r="G256" s="2"/>
      <c r="K256" t="str">
        <f t="shared" si="39"/>
        <v>case L'ヅ': bmcode = 0x00EA; break;</v>
      </c>
    </row>
    <row r="257" spans="2:11" ht="26.5" customHeight="1">
      <c r="B257" s="2">
        <v>235</v>
      </c>
      <c r="C257" s="2">
        <f t="shared" si="40"/>
        <v>14</v>
      </c>
      <c r="D257" s="2">
        <f t="shared" si="37"/>
        <v>11</v>
      </c>
      <c r="E257" s="2" t="str">
        <f t="shared" si="38"/>
        <v>デ</v>
      </c>
      <c r="F257" s="2"/>
      <c r="G257" s="2"/>
      <c r="K257" t="str">
        <f t="shared" si="39"/>
        <v>case L'デ': bmcode = 0x00EB; break;</v>
      </c>
    </row>
    <row r="258" spans="2:11" ht="26.5" customHeight="1">
      <c r="B258" s="2">
        <v>236</v>
      </c>
      <c r="C258" s="2">
        <f t="shared" si="40"/>
        <v>14</v>
      </c>
      <c r="D258" s="2">
        <f t="shared" si="37"/>
        <v>12</v>
      </c>
      <c r="E258" s="2" t="str">
        <f t="shared" si="38"/>
        <v>ド</v>
      </c>
      <c r="F258" s="2"/>
      <c r="G258" s="2"/>
      <c r="K258" t="str">
        <f t="shared" si="39"/>
        <v>case L'ド': bmcode = 0x00EC; break;</v>
      </c>
    </row>
    <row r="259" spans="2:11" ht="26.5" customHeight="1">
      <c r="B259" s="2">
        <v>237</v>
      </c>
      <c r="C259" s="2">
        <f t="shared" si="40"/>
        <v>14</v>
      </c>
      <c r="D259" s="2">
        <f t="shared" si="37"/>
        <v>13</v>
      </c>
      <c r="E259" s="2" t="str">
        <f t="shared" si="38"/>
        <v>バ</v>
      </c>
      <c r="F259" s="2"/>
      <c r="G259" s="2"/>
      <c r="K259" t="str">
        <f t="shared" si="39"/>
        <v>case L'バ': bmcode = 0x00ED; break;</v>
      </c>
    </row>
    <row r="260" spans="2:11" ht="26.5" customHeight="1">
      <c r="B260" s="2">
        <v>238</v>
      </c>
      <c r="C260" s="2">
        <f t="shared" si="40"/>
        <v>14</v>
      </c>
      <c r="D260" s="2">
        <f t="shared" si="37"/>
        <v>14</v>
      </c>
      <c r="E260" s="2" t="str">
        <f t="shared" si="38"/>
        <v>ビ</v>
      </c>
      <c r="F260" s="2"/>
      <c r="G260" s="2"/>
      <c r="K260" t="str">
        <f t="shared" si="39"/>
        <v>case L'ビ': bmcode = 0x00EE; break;</v>
      </c>
    </row>
    <row r="261" spans="2:11" ht="26.5" customHeight="1">
      <c r="B261" s="2">
        <v>239</v>
      </c>
      <c r="C261" s="2">
        <f t="shared" si="40"/>
        <v>14</v>
      </c>
      <c r="D261" s="2">
        <f t="shared" si="37"/>
        <v>15</v>
      </c>
      <c r="E261" s="2" t="str">
        <f t="shared" si="38"/>
        <v>ブ</v>
      </c>
      <c r="F261" s="2"/>
      <c r="G261" s="2"/>
      <c r="K261" t="str">
        <f t="shared" si="39"/>
        <v>case L'ブ': bmcode = 0x00EF; break;</v>
      </c>
    </row>
    <row r="262" spans="2:11" ht="26.5" customHeight="1">
      <c r="B262" s="2">
        <v>240</v>
      </c>
      <c r="C262" s="2">
        <f t="shared" si="40"/>
        <v>15</v>
      </c>
      <c r="D262" s="2">
        <f t="shared" si="37"/>
        <v>0</v>
      </c>
      <c r="E262" s="2" t="str">
        <f t="shared" si="38"/>
        <v>ベ</v>
      </c>
      <c r="F262" s="2"/>
      <c r="G262" s="2"/>
      <c r="K262" t="str">
        <f t="shared" si="39"/>
        <v>case L'ベ': bmcode = 0x00F0; break;</v>
      </c>
    </row>
    <row r="263" spans="2:11" ht="26.5" customHeight="1">
      <c r="B263" s="2">
        <v>241</v>
      </c>
      <c r="C263" s="2">
        <f t="shared" si="40"/>
        <v>15</v>
      </c>
      <c r="D263" s="2">
        <f t="shared" si="37"/>
        <v>1</v>
      </c>
      <c r="E263" s="2" t="str">
        <f t="shared" si="38"/>
        <v>ボ</v>
      </c>
      <c r="F263" s="2"/>
      <c r="G263" s="2"/>
      <c r="K263" t="str">
        <f t="shared" si="39"/>
        <v>case L'ボ': bmcode = 0x00F1; break;</v>
      </c>
    </row>
    <row r="264" spans="2:11" ht="26.5" customHeight="1">
      <c r="B264" s="2">
        <v>242</v>
      </c>
      <c r="C264" s="2">
        <f t="shared" si="40"/>
        <v>15</v>
      </c>
      <c r="D264" s="2">
        <f t="shared" si="37"/>
        <v>2</v>
      </c>
      <c r="E264" s="2" t="str">
        <f t="shared" si="38"/>
        <v>パ</v>
      </c>
      <c r="F264" s="2"/>
      <c r="G264" s="2"/>
      <c r="K264" t="str">
        <f t="shared" si="39"/>
        <v>case L'パ': bmcode = 0x00F2; break;</v>
      </c>
    </row>
    <row r="265" spans="2:11" ht="26.5" customHeight="1">
      <c r="B265" s="2">
        <v>243</v>
      </c>
      <c r="C265" s="2">
        <f t="shared" si="40"/>
        <v>15</v>
      </c>
      <c r="D265" s="2">
        <f t="shared" si="37"/>
        <v>3</v>
      </c>
      <c r="E265" s="2" t="str">
        <f t="shared" si="38"/>
        <v>ピ</v>
      </c>
      <c r="F265" s="2"/>
      <c r="G265" s="2"/>
      <c r="K265" t="str">
        <f t="shared" si="39"/>
        <v>case L'ピ': bmcode = 0x00F3; break;</v>
      </c>
    </row>
    <row r="266" spans="2:11" ht="26.5" customHeight="1">
      <c r="B266" s="2">
        <v>244</v>
      </c>
      <c r="C266" s="2">
        <f t="shared" si="40"/>
        <v>15</v>
      </c>
      <c r="D266" s="2">
        <f t="shared" si="37"/>
        <v>4</v>
      </c>
      <c r="E266" s="2" t="str">
        <f t="shared" si="38"/>
        <v>プ</v>
      </c>
      <c r="F266" s="2"/>
      <c r="G266" s="2"/>
      <c r="K266" t="str">
        <f t="shared" si="39"/>
        <v>case L'プ': bmcode = 0x00F4; break;</v>
      </c>
    </row>
    <row r="267" spans="2:11" ht="26.5" customHeight="1">
      <c r="B267" s="2">
        <v>245</v>
      </c>
      <c r="C267" s="2">
        <f t="shared" si="40"/>
        <v>15</v>
      </c>
      <c r="D267" s="2">
        <f t="shared" si="37"/>
        <v>5</v>
      </c>
      <c r="E267" s="2" t="str">
        <f t="shared" si="38"/>
        <v>ペ</v>
      </c>
      <c r="F267" s="2"/>
      <c r="G267" s="2"/>
      <c r="K267" t="str">
        <f t="shared" si="39"/>
        <v>case L'ペ': bmcode = 0x00F5; break;</v>
      </c>
    </row>
    <row r="268" spans="2:11" ht="26.5" customHeight="1">
      <c r="B268" s="2">
        <v>246</v>
      </c>
      <c r="C268" s="2">
        <f t="shared" si="40"/>
        <v>15</v>
      </c>
      <c r="D268" s="2">
        <f t="shared" si="37"/>
        <v>6</v>
      </c>
      <c r="E268" s="2" t="str">
        <f t="shared" si="38"/>
        <v>ポ</v>
      </c>
      <c r="F268" s="2"/>
      <c r="G268" s="2"/>
      <c r="K268" t="str">
        <f t="shared" si="39"/>
        <v>case L'ポ': bmcode = 0x00F6; break;</v>
      </c>
    </row>
    <row r="269" spans="2:11" ht="26.5" customHeight="1">
      <c r="B269" s="2">
        <v>247</v>
      </c>
      <c r="C269" s="2">
        <f t="shared" si="40"/>
        <v>15</v>
      </c>
      <c r="D269" s="2">
        <f t="shared" si="37"/>
        <v>7</v>
      </c>
      <c r="E269" s="2" t="str">
        <f t="shared" si="38"/>
        <v>ァ</v>
      </c>
      <c r="F269" s="2"/>
      <c r="G269" s="2"/>
      <c r="K269" t="str">
        <f t="shared" si="39"/>
        <v>case L'ァ': bmcode = 0x00F7; break;</v>
      </c>
    </row>
    <row r="270" spans="2:11" ht="26.5" customHeight="1">
      <c r="B270" s="2">
        <v>248</v>
      </c>
      <c r="C270" s="2">
        <f t="shared" si="40"/>
        <v>15</v>
      </c>
      <c r="D270" s="2">
        <f t="shared" si="37"/>
        <v>8</v>
      </c>
      <c r="E270" s="2" t="str">
        <f t="shared" si="38"/>
        <v>ィ</v>
      </c>
      <c r="F270" s="2"/>
      <c r="G270" s="2"/>
      <c r="K270" t="str">
        <f t="shared" si="39"/>
        <v>case L'ィ': bmcode = 0x00F8; break;</v>
      </c>
    </row>
    <row r="271" spans="2:11" ht="26.5" customHeight="1">
      <c r="B271" s="2">
        <v>249</v>
      </c>
      <c r="C271" s="2">
        <f t="shared" si="40"/>
        <v>15</v>
      </c>
      <c r="D271" s="2">
        <f t="shared" si="37"/>
        <v>9</v>
      </c>
      <c r="E271" s="2" t="str">
        <f t="shared" si="38"/>
        <v>ゥ</v>
      </c>
      <c r="F271" s="2"/>
      <c r="G271" s="2"/>
      <c r="K271" t="str">
        <f t="shared" si="39"/>
        <v>case L'ゥ': bmcode = 0x00F9; break;</v>
      </c>
    </row>
    <row r="272" spans="2:11" ht="26.5" customHeight="1">
      <c r="B272" s="2">
        <v>250</v>
      </c>
      <c r="C272" s="2">
        <f t="shared" si="40"/>
        <v>15</v>
      </c>
      <c r="D272" s="2">
        <f t="shared" si="37"/>
        <v>10</v>
      </c>
      <c r="E272" s="2" t="str">
        <f t="shared" si="38"/>
        <v>ェ</v>
      </c>
      <c r="F272" s="2"/>
      <c r="G272" s="2"/>
      <c r="K272" t="str">
        <f t="shared" si="39"/>
        <v>case L'ェ': bmcode = 0x00FA; break;</v>
      </c>
    </row>
    <row r="273" spans="2:11" ht="26.5" customHeight="1">
      <c r="B273" s="2">
        <v>251</v>
      </c>
      <c r="C273" s="2">
        <f t="shared" si="40"/>
        <v>15</v>
      </c>
      <c r="D273" s="2">
        <f t="shared" si="37"/>
        <v>11</v>
      </c>
      <c r="E273" s="2" t="str">
        <f t="shared" si="38"/>
        <v>ォ</v>
      </c>
      <c r="F273" s="2"/>
      <c r="G273" s="2"/>
      <c r="K273" t="str">
        <f t="shared" si="39"/>
        <v>case L'ォ': bmcode = 0x00FB; break;</v>
      </c>
    </row>
    <row r="274" spans="2:11" ht="26.5" customHeight="1">
      <c r="B274" s="2">
        <v>252</v>
      </c>
      <c r="C274" s="2">
        <f t="shared" si="40"/>
        <v>15</v>
      </c>
      <c r="D274" s="2">
        <f t="shared" si="37"/>
        <v>12</v>
      </c>
      <c r="E274" s="2" t="str">
        <f t="shared" si="38"/>
        <v>ッ</v>
      </c>
      <c r="F274" s="2"/>
      <c r="G274" s="2"/>
      <c r="K274" t="str">
        <f t="shared" si="39"/>
        <v>case L'ッ': bmcode = 0x00FC; break;</v>
      </c>
    </row>
    <row r="275" spans="2:11" ht="26.5" customHeight="1">
      <c r="B275" s="2">
        <v>253</v>
      </c>
      <c r="C275" s="2">
        <f t="shared" si="40"/>
        <v>15</v>
      </c>
      <c r="D275" s="2">
        <f t="shared" si="37"/>
        <v>13</v>
      </c>
      <c r="E275" s="2" t="str">
        <f t="shared" si="38"/>
        <v>ャ</v>
      </c>
      <c r="F275" s="2"/>
      <c r="G275" s="2"/>
      <c r="K275" t="str">
        <f t="shared" si="39"/>
        <v>case L'ャ': bmcode = 0x00FD; break;</v>
      </c>
    </row>
    <row r="276" spans="2:11" ht="26.5" customHeight="1">
      <c r="B276" s="2">
        <v>254</v>
      </c>
      <c r="C276" s="2">
        <f t="shared" si="40"/>
        <v>15</v>
      </c>
      <c r="D276" s="2">
        <f t="shared" si="37"/>
        <v>14</v>
      </c>
      <c r="E276" s="2" t="str">
        <f t="shared" si="38"/>
        <v>ュ</v>
      </c>
      <c r="F276" s="2"/>
      <c r="G276" s="2"/>
      <c r="K276" t="str">
        <f t="shared" si="39"/>
        <v>case L'ュ': bmcode = 0x00FE; break;</v>
      </c>
    </row>
    <row r="277" spans="2:11" ht="26.5" customHeight="1">
      <c r="B277" s="2">
        <v>255</v>
      </c>
      <c r="C277" s="2">
        <f t="shared" si="40"/>
        <v>15</v>
      </c>
      <c r="D277" s="2">
        <f t="shared" si="37"/>
        <v>15</v>
      </c>
      <c r="E277" s="2" t="str">
        <f t="shared" si="38"/>
        <v>ョ</v>
      </c>
      <c r="F277" s="2"/>
      <c r="G277" s="2"/>
      <c r="K277" t="str">
        <f t="shared" si="39"/>
        <v>case L'ョ': bmcode = 0x00FF; break;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D9DE8-C954-4EEB-81DF-FA5001807953}">
  <dimension ref="B2:AI277"/>
  <sheetViews>
    <sheetView workbookViewId="0"/>
  </sheetViews>
  <sheetFormatPr defaultColWidth="5" defaultRowHeight="26.5" customHeight="1"/>
  <sheetData>
    <row r="2" spans="2:35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5"/>
      <c r="T2" s="6" t="s">
        <v>189</v>
      </c>
    </row>
    <row r="3" spans="2:35" ht="26.5" customHeight="1">
      <c r="B3" s="1">
        <v>0</v>
      </c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T3" t="str">
        <f>"L'"&amp;C3&amp;"',"</f>
        <v>L'',</v>
      </c>
      <c r="U3" t="str">
        <f t="shared" ref="U3:AI18" si="0">"L'"&amp;D3&amp;"',"</f>
        <v>L'',</v>
      </c>
      <c r="V3" t="str">
        <f t="shared" si="0"/>
        <v>L'',</v>
      </c>
      <c r="W3" t="str">
        <f t="shared" si="0"/>
        <v>L'',</v>
      </c>
      <c r="X3" t="str">
        <f t="shared" si="0"/>
        <v>L'',</v>
      </c>
      <c r="Y3" t="str">
        <f t="shared" si="0"/>
        <v>L'',</v>
      </c>
      <c r="Z3" t="str">
        <f t="shared" si="0"/>
        <v>L'',</v>
      </c>
      <c r="AA3" t="str">
        <f t="shared" si="0"/>
        <v>L'',</v>
      </c>
      <c r="AB3" t="str">
        <f t="shared" si="0"/>
        <v>L'',</v>
      </c>
      <c r="AC3" t="str">
        <f t="shared" si="0"/>
        <v>L'',</v>
      </c>
      <c r="AD3" t="str">
        <f t="shared" si="0"/>
        <v>L'',</v>
      </c>
      <c r="AE3" t="str">
        <f t="shared" si="0"/>
        <v>L'',</v>
      </c>
      <c r="AF3" t="str">
        <f t="shared" si="0"/>
        <v>L'',</v>
      </c>
      <c r="AG3" t="str">
        <f t="shared" si="0"/>
        <v>L'',</v>
      </c>
      <c r="AH3" t="str">
        <f t="shared" si="0"/>
        <v>L'',</v>
      </c>
      <c r="AI3" t="str">
        <f t="shared" si="0"/>
        <v>L'',</v>
      </c>
    </row>
    <row r="4" spans="2:35" ht="26.5" customHeight="1">
      <c r="B4" s="1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t="str">
        <f t="shared" ref="T4:T18" si="1">"L'"&amp;C4&amp;"',"</f>
        <v>L'',</v>
      </c>
      <c r="U4" t="str">
        <f t="shared" si="0"/>
        <v>L'',</v>
      </c>
      <c r="V4" t="str">
        <f t="shared" si="0"/>
        <v>L'',</v>
      </c>
      <c r="W4" t="str">
        <f t="shared" si="0"/>
        <v>L'',</v>
      </c>
      <c r="X4" t="str">
        <f t="shared" si="0"/>
        <v>L'',</v>
      </c>
      <c r="Y4" t="str">
        <f t="shared" si="0"/>
        <v>L'',</v>
      </c>
      <c r="Z4" t="str">
        <f t="shared" si="0"/>
        <v>L'',</v>
      </c>
      <c r="AA4" t="str">
        <f t="shared" si="0"/>
        <v>L'',</v>
      </c>
      <c r="AB4" t="str">
        <f t="shared" si="0"/>
        <v>L'',</v>
      </c>
      <c r="AC4" t="str">
        <f t="shared" si="0"/>
        <v>L'',</v>
      </c>
      <c r="AD4" t="str">
        <f t="shared" si="0"/>
        <v>L'',</v>
      </c>
      <c r="AE4" t="str">
        <f t="shared" si="0"/>
        <v>L'',</v>
      </c>
      <c r="AF4" t="str">
        <f t="shared" si="0"/>
        <v>L'',</v>
      </c>
      <c r="AG4" t="str">
        <f t="shared" si="0"/>
        <v>L'',</v>
      </c>
      <c r="AH4" t="str">
        <f t="shared" si="0"/>
        <v>L'',</v>
      </c>
      <c r="AI4" t="str">
        <f t="shared" si="0"/>
        <v>L'',</v>
      </c>
    </row>
    <row r="5" spans="2:35" ht="26.5" customHeight="1">
      <c r="B5" s="1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t="str">
        <f t="shared" si="1"/>
        <v>L'',</v>
      </c>
      <c r="U5" t="str">
        <f t="shared" si="0"/>
        <v>L'',</v>
      </c>
      <c r="V5" t="str">
        <f t="shared" si="0"/>
        <v>L'',</v>
      </c>
      <c r="W5" t="str">
        <f t="shared" si="0"/>
        <v>L'',</v>
      </c>
      <c r="X5" t="str">
        <f t="shared" si="0"/>
        <v>L'',</v>
      </c>
      <c r="Y5" t="str">
        <f t="shared" si="0"/>
        <v>L'',</v>
      </c>
      <c r="Z5" t="str">
        <f t="shared" si="0"/>
        <v>L'',</v>
      </c>
      <c r="AA5" t="str">
        <f t="shared" si="0"/>
        <v>L'',</v>
      </c>
      <c r="AB5" t="str">
        <f t="shared" si="0"/>
        <v>L'',</v>
      </c>
      <c r="AC5" t="str">
        <f t="shared" si="0"/>
        <v>L'',</v>
      </c>
      <c r="AD5" t="str">
        <f t="shared" si="0"/>
        <v>L'',</v>
      </c>
      <c r="AE5" t="str">
        <f t="shared" si="0"/>
        <v>L'',</v>
      </c>
      <c r="AF5" t="str">
        <f t="shared" si="0"/>
        <v>L'',</v>
      </c>
      <c r="AG5" t="str">
        <f t="shared" si="0"/>
        <v>L'',</v>
      </c>
      <c r="AH5" t="str">
        <f t="shared" si="0"/>
        <v>L'',</v>
      </c>
      <c r="AI5" t="str">
        <f t="shared" si="0"/>
        <v>L'',</v>
      </c>
    </row>
    <row r="6" spans="2:35" ht="26.5" customHeight="1">
      <c r="B6" s="1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t="str">
        <f t="shared" si="1"/>
        <v>L'',</v>
      </c>
      <c r="U6" t="str">
        <f t="shared" si="0"/>
        <v>L'',</v>
      </c>
      <c r="V6" t="str">
        <f t="shared" si="0"/>
        <v>L'',</v>
      </c>
      <c r="W6" t="str">
        <f t="shared" si="0"/>
        <v>L'',</v>
      </c>
      <c r="X6" t="str">
        <f t="shared" si="0"/>
        <v>L'',</v>
      </c>
      <c r="Y6" t="str">
        <f t="shared" si="0"/>
        <v>L'',</v>
      </c>
      <c r="Z6" t="str">
        <f t="shared" si="0"/>
        <v>L'',</v>
      </c>
      <c r="AA6" t="str">
        <f t="shared" si="0"/>
        <v>L'',</v>
      </c>
      <c r="AB6" t="str">
        <f t="shared" si="0"/>
        <v>L'',</v>
      </c>
      <c r="AC6" t="str">
        <f t="shared" si="0"/>
        <v>L'',</v>
      </c>
      <c r="AD6" t="str">
        <f t="shared" si="0"/>
        <v>L'',</v>
      </c>
      <c r="AE6" t="str">
        <f t="shared" si="0"/>
        <v>L'',</v>
      </c>
      <c r="AF6" t="str">
        <f t="shared" si="0"/>
        <v>L'',</v>
      </c>
      <c r="AG6" t="str">
        <f t="shared" si="0"/>
        <v>L'',</v>
      </c>
      <c r="AH6" t="str">
        <f t="shared" si="0"/>
        <v>L'',</v>
      </c>
      <c r="AI6" t="str">
        <f t="shared" si="0"/>
        <v>L'',</v>
      </c>
    </row>
    <row r="7" spans="2:35" ht="26.5" customHeight="1">
      <c r="B7" s="1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t="str">
        <f t="shared" si="1"/>
        <v>L'',</v>
      </c>
      <c r="U7" t="str">
        <f t="shared" si="0"/>
        <v>L'',</v>
      </c>
      <c r="V7" t="str">
        <f t="shared" si="0"/>
        <v>L'',</v>
      </c>
      <c r="W7" t="str">
        <f t="shared" si="0"/>
        <v>L'',</v>
      </c>
      <c r="X7" t="str">
        <f t="shared" si="0"/>
        <v>L'',</v>
      </c>
      <c r="Y7" t="str">
        <f t="shared" si="0"/>
        <v>L'',</v>
      </c>
      <c r="Z7" t="str">
        <f t="shared" si="0"/>
        <v>L'',</v>
      </c>
      <c r="AA7" t="str">
        <f t="shared" si="0"/>
        <v>L'',</v>
      </c>
      <c r="AB7" t="str">
        <f t="shared" si="0"/>
        <v>L'',</v>
      </c>
      <c r="AC7" t="str">
        <f t="shared" si="0"/>
        <v>L'',</v>
      </c>
      <c r="AD7" t="str">
        <f t="shared" si="0"/>
        <v>L'',</v>
      </c>
      <c r="AE7" t="str">
        <f t="shared" si="0"/>
        <v>L'',</v>
      </c>
      <c r="AF7" t="str">
        <f t="shared" si="0"/>
        <v>L'',</v>
      </c>
      <c r="AG7" t="str">
        <f t="shared" si="0"/>
        <v>L'',</v>
      </c>
      <c r="AH7" t="str">
        <f t="shared" si="0"/>
        <v>L'',</v>
      </c>
      <c r="AI7" t="str">
        <f t="shared" si="0"/>
        <v>L'',</v>
      </c>
    </row>
    <row r="8" spans="2:35" ht="26.5" customHeight="1">
      <c r="B8" s="1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3"/>
      <c r="T8" t="str">
        <f t="shared" si="1"/>
        <v>L'',</v>
      </c>
      <c r="U8" t="str">
        <f t="shared" si="0"/>
        <v>L'',</v>
      </c>
      <c r="V8" t="str">
        <f t="shared" si="0"/>
        <v>L'',</v>
      </c>
      <c r="W8" t="str">
        <f t="shared" si="0"/>
        <v>L'',</v>
      </c>
      <c r="X8" t="str">
        <f t="shared" si="0"/>
        <v>L'',</v>
      </c>
      <c r="Y8" t="str">
        <f t="shared" si="0"/>
        <v>L'',</v>
      </c>
      <c r="Z8" t="str">
        <f t="shared" si="0"/>
        <v>L'',</v>
      </c>
      <c r="AA8" t="str">
        <f t="shared" si="0"/>
        <v>L'',</v>
      </c>
      <c r="AB8" t="str">
        <f t="shared" si="0"/>
        <v>L'',</v>
      </c>
      <c r="AC8" t="str">
        <f t="shared" si="0"/>
        <v>L'',</v>
      </c>
      <c r="AD8" t="str">
        <f t="shared" si="0"/>
        <v>L'',</v>
      </c>
      <c r="AE8" t="str">
        <f t="shared" si="0"/>
        <v>L'',</v>
      </c>
      <c r="AF8" t="str">
        <f t="shared" si="0"/>
        <v>L'',</v>
      </c>
      <c r="AG8" t="str">
        <f t="shared" si="0"/>
        <v>L'',</v>
      </c>
      <c r="AH8" t="str">
        <f t="shared" si="0"/>
        <v>L'',</v>
      </c>
      <c r="AI8" t="str">
        <f t="shared" si="0"/>
        <v>L'',</v>
      </c>
    </row>
    <row r="9" spans="2:35" ht="26.5" customHeight="1">
      <c r="B9" s="1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t="str">
        <f t="shared" si="1"/>
        <v>L'',</v>
      </c>
      <c r="U9" t="str">
        <f t="shared" si="0"/>
        <v>L'',</v>
      </c>
      <c r="V9" t="str">
        <f t="shared" si="0"/>
        <v>L'',</v>
      </c>
      <c r="W9" t="str">
        <f t="shared" si="0"/>
        <v>L'',</v>
      </c>
      <c r="X9" t="str">
        <f t="shared" si="0"/>
        <v>L'',</v>
      </c>
      <c r="Y9" t="str">
        <f t="shared" si="0"/>
        <v>L'',</v>
      </c>
      <c r="Z9" t="str">
        <f t="shared" si="0"/>
        <v>L'',</v>
      </c>
      <c r="AA9" t="str">
        <f t="shared" si="0"/>
        <v>L'',</v>
      </c>
      <c r="AB9" t="str">
        <f t="shared" si="0"/>
        <v>L'',</v>
      </c>
      <c r="AC9" t="str">
        <f t="shared" si="0"/>
        <v>L'',</v>
      </c>
      <c r="AD9" t="str">
        <f t="shared" si="0"/>
        <v>L'',</v>
      </c>
      <c r="AE9" t="str">
        <f t="shared" si="0"/>
        <v>L'',</v>
      </c>
      <c r="AF9" t="str">
        <f t="shared" si="0"/>
        <v>L'',</v>
      </c>
      <c r="AG9" t="str">
        <f t="shared" si="0"/>
        <v>L'',</v>
      </c>
      <c r="AH9" t="str">
        <f t="shared" si="0"/>
        <v>L'',</v>
      </c>
      <c r="AI9" t="str">
        <f t="shared" si="0"/>
        <v>L'',</v>
      </c>
    </row>
    <row r="10" spans="2:35" ht="26.5" customHeight="1">
      <c r="B10" s="1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t="str">
        <f t="shared" si="1"/>
        <v>L'',</v>
      </c>
      <c r="U10" t="str">
        <f t="shared" si="0"/>
        <v>L'',</v>
      </c>
      <c r="V10" t="str">
        <f t="shared" si="0"/>
        <v>L'',</v>
      </c>
      <c r="W10" t="str">
        <f t="shared" si="0"/>
        <v>L'',</v>
      </c>
      <c r="X10" t="str">
        <f t="shared" si="0"/>
        <v>L'',</v>
      </c>
      <c r="Y10" t="str">
        <f t="shared" si="0"/>
        <v>L'',</v>
      </c>
      <c r="Z10" t="str">
        <f t="shared" si="0"/>
        <v>L'',</v>
      </c>
      <c r="AA10" t="str">
        <f t="shared" si="0"/>
        <v>L'',</v>
      </c>
      <c r="AB10" t="str">
        <f t="shared" si="0"/>
        <v>L'',</v>
      </c>
      <c r="AC10" t="str">
        <f t="shared" si="0"/>
        <v>L'',</v>
      </c>
      <c r="AD10" t="str">
        <f t="shared" si="0"/>
        <v>L'',</v>
      </c>
      <c r="AE10" t="str">
        <f t="shared" si="0"/>
        <v>L'',</v>
      </c>
      <c r="AF10" t="str">
        <f t="shared" si="0"/>
        <v>L'',</v>
      </c>
      <c r="AG10" t="str">
        <f t="shared" si="0"/>
        <v>L'',</v>
      </c>
      <c r="AH10" t="str">
        <f t="shared" si="0"/>
        <v>L'',</v>
      </c>
      <c r="AI10" t="str">
        <f t="shared" si="0"/>
        <v>L'',</v>
      </c>
    </row>
    <row r="11" spans="2:35" ht="26.5" customHeight="1">
      <c r="B11" s="1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t="str">
        <f t="shared" si="1"/>
        <v>L'',</v>
      </c>
      <c r="U11" t="str">
        <f t="shared" si="0"/>
        <v>L'',</v>
      </c>
      <c r="V11" t="str">
        <f t="shared" si="0"/>
        <v>L'',</v>
      </c>
      <c r="W11" t="str">
        <f t="shared" si="0"/>
        <v>L'',</v>
      </c>
      <c r="X11" t="str">
        <f t="shared" si="0"/>
        <v>L'',</v>
      </c>
      <c r="Y11" t="str">
        <f t="shared" si="0"/>
        <v>L'',</v>
      </c>
      <c r="Z11" t="str">
        <f t="shared" si="0"/>
        <v>L'',</v>
      </c>
      <c r="AA11" t="str">
        <f t="shared" si="0"/>
        <v>L'',</v>
      </c>
      <c r="AB11" t="str">
        <f t="shared" si="0"/>
        <v>L'',</v>
      </c>
      <c r="AC11" t="str">
        <f t="shared" si="0"/>
        <v>L'',</v>
      </c>
      <c r="AD11" t="str">
        <f t="shared" si="0"/>
        <v>L'',</v>
      </c>
      <c r="AE11" t="str">
        <f t="shared" si="0"/>
        <v>L'',</v>
      </c>
      <c r="AF11" t="str">
        <f t="shared" si="0"/>
        <v>L'',</v>
      </c>
      <c r="AG11" t="str">
        <f t="shared" si="0"/>
        <v>L'',</v>
      </c>
      <c r="AH11" t="str">
        <f t="shared" si="0"/>
        <v>L'',</v>
      </c>
      <c r="AI11" t="str">
        <f t="shared" si="0"/>
        <v>L'',</v>
      </c>
    </row>
    <row r="12" spans="2:35" ht="26.5" customHeight="1">
      <c r="B12" s="1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t="str">
        <f t="shared" si="1"/>
        <v>L'',</v>
      </c>
      <c r="U12" t="str">
        <f t="shared" si="0"/>
        <v>L'',</v>
      </c>
      <c r="V12" t="str">
        <f t="shared" si="0"/>
        <v>L'',</v>
      </c>
      <c r="W12" t="str">
        <f t="shared" si="0"/>
        <v>L'',</v>
      </c>
      <c r="X12" t="str">
        <f t="shared" si="0"/>
        <v>L'',</v>
      </c>
      <c r="Y12" t="str">
        <f t="shared" si="0"/>
        <v>L'',</v>
      </c>
      <c r="Z12" t="str">
        <f t="shared" si="0"/>
        <v>L'',</v>
      </c>
      <c r="AA12" t="str">
        <f t="shared" si="0"/>
        <v>L'',</v>
      </c>
      <c r="AB12" t="str">
        <f t="shared" si="0"/>
        <v>L'',</v>
      </c>
      <c r="AC12" t="str">
        <f t="shared" si="0"/>
        <v>L'',</v>
      </c>
      <c r="AD12" t="str">
        <f t="shared" si="0"/>
        <v>L'',</v>
      </c>
      <c r="AE12" t="str">
        <f t="shared" si="0"/>
        <v>L'',</v>
      </c>
      <c r="AF12" t="str">
        <f t="shared" si="0"/>
        <v>L'',</v>
      </c>
      <c r="AG12" t="str">
        <f t="shared" si="0"/>
        <v>L'',</v>
      </c>
      <c r="AH12" t="str">
        <f t="shared" si="0"/>
        <v>L'',</v>
      </c>
      <c r="AI12" t="str">
        <f t="shared" si="0"/>
        <v>L'',</v>
      </c>
    </row>
    <row r="13" spans="2:35" ht="26.5" customHeight="1">
      <c r="B13" s="1" t="s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t="str">
        <f t="shared" si="1"/>
        <v>L'',</v>
      </c>
      <c r="U13" t="str">
        <f t="shared" si="0"/>
        <v>L'',</v>
      </c>
      <c r="V13" t="str">
        <f t="shared" si="0"/>
        <v>L'',</v>
      </c>
      <c r="W13" t="str">
        <f t="shared" si="0"/>
        <v>L'',</v>
      </c>
      <c r="X13" t="str">
        <f t="shared" si="0"/>
        <v>L'',</v>
      </c>
      <c r="Y13" t="str">
        <f t="shared" si="0"/>
        <v>L'',</v>
      </c>
      <c r="Z13" t="str">
        <f t="shared" si="0"/>
        <v>L'',</v>
      </c>
      <c r="AA13" t="str">
        <f t="shared" si="0"/>
        <v>L'',</v>
      </c>
      <c r="AB13" t="str">
        <f t="shared" si="0"/>
        <v>L'',</v>
      </c>
      <c r="AC13" t="str">
        <f t="shared" si="0"/>
        <v>L'',</v>
      </c>
      <c r="AD13" t="str">
        <f t="shared" si="0"/>
        <v>L'',</v>
      </c>
      <c r="AE13" t="str">
        <f t="shared" si="0"/>
        <v>L'',</v>
      </c>
      <c r="AF13" t="str">
        <f t="shared" si="0"/>
        <v>L'',</v>
      </c>
      <c r="AG13" t="str">
        <f t="shared" si="0"/>
        <v>L'',</v>
      </c>
      <c r="AH13" t="str">
        <f t="shared" si="0"/>
        <v>L'',</v>
      </c>
      <c r="AI13" t="str">
        <f t="shared" si="0"/>
        <v>L'',</v>
      </c>
    </row>
    <row r="14" spans="2:35" ht="26.5" customHeight="1">
      <c r="B14" s="1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t="str">
        <f t="shared" si="1"/>
        <v>L'',</v>
      </c>
      <c r="U14" t="str">
        <f t="shared" si="0"/>
        <v>L'',</v>
      </c>
      <c r="V14" t="str">
        <f t="shared" si="0"/>
        <v>L'',</v>
      </c>
      <c r="W14" t="str">
        <f t="shared" si="0"/>
        <v>L'',</v>
      </c>
      <c r="X14" t="str">
        <f t="shared" si="0"/>
        <v>L'',</v>
      </c>
      <c r="Y14" t="str">
        <f t="shared" si="0"/>
        <v>L'',</v>
      </c>
      <c r="Z14" t="str">
        <f t="shared" si="0"/>
        <v>L'',</v>
      </c>
      <c r="AA14" t="str">
        <f t="shared" si="0"/>
        <v>L'',</v>
      </c>
      <c r="AB14" t="str">
        <f t="shared" si="0"/>
        <v>L'',</v>
      </c>
      <c r="AC14" t="str">
        <f t="shared" si="0"/>
        <v>L'',</v>
      </c>
      <c r="AD14" t="str">
        <f t="shared" si="0"/>
        <v>L'',</v>
      </c>
      <c r="AE14" t="str">
        <f t="shared" si="0"/>
        <v>L'',</v>
      </c>
      <c r="AF14" t="str">
        <f t="shared" si="0"/>
        <v>L'',</v>
      </c>
      <c r="AG14" t="str">
        <f t="shared" si="0"/>
        <v>L'',</v>
      </c>
      <c r="AH14" t="str">
        <f t="shared" si="0"/>
        <v>L'',</v>
      </c>
      <c r="AI14" t="str">
        <f t="shared" si="0"/>
        <v>L'',</v>
      </c>
    </row>
    <row r="15" spans="2:35" ht="26.5" customHeight="1">
      <c r="B15" s="1" t="s">
        <v>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t="str">
        <f t="shared" si="1"/>
        <v>L'',</v>
      </c>
      <c r="U15" t="str">
        <f t="shared" si="0"/>
        <v>L'',</v>
      </c>
      <c r="V15" t="str">
        <f t="shared" si="0"/>
        <v>L'',</v>
      </c>
      <c r="W15" t="str">
        <f t="shared" si="0"/>
        <v>L'',</v>
      </c>
      <c r="X15" t="str">
        <f t="shared" si="0"/>
        <v>L'',</v>
      </c>
      <c r="Y15" t="str">
        <f t="shared" si="0"/>
        <v>L'',</v>
      </c>
      <c r="Z15" t="str">
        <f t="shared" si="0"/>
        <v>L'',</v>
      </c>
      <c r="AA15" t="str">
        <f t="shared" si="0"/>
        <v>L'',</v>
      </c>
      <c r="AB15" t="str">
        <f t="shared" si="0"/>
        <v>L'',</v>
      </c>
      <c r="AC15" t="str">
        <f t="shared" si="0"/>
        <v>L'',</v>
      </c>
      <c r="AD15" t="str">
        <f t="shared" si="0"/>
        <v>L'',</v>
      </c>
      <c r="AE15" t="str">
        <f t="shared" si="0"/>
        <v>L'',</v>
      </c>
      <c r="AF15" t="str">
        <f t="shared" si="0"/>
        <v>L'',</v>
      </c>
      <c r="AG15" t="str">
        <f t="shared" si="0"/>
        <v>L'',</v>
      </c>
      <c r="AH15" t="str">
        <f t="shared" si="0"/>
        <v>L'',</v>
      </c>
      <c r="AI15" t="str">
        <f t="shared" si="0"/>
        <v>L'',</v>
      </c>
    </row>
    <row r="16" spans="2:35" ht="26.5" customHeight="1">
      <c r="B16" s="1" t="s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t="str">
        <f t="shared" si="1"/>
        <v>L'',</v>
      </c>
      <c r="U16" t="str">
        <f t="shared" si="0"/>
        <v>L'',</v>
      </c>
      <c r="V16" t="str">
        <f t="shared" si="0"/>
        <v>L'',</v>
      </c>
      <c r="W16" t="str">
        <f t="shared" si="0"/>
        <v>L'',</v>
      </c>
      <c r="X16" t="str">
        <f t="shared" si="0"/>
        <v>L'',</v>
      </c>
      <c r="Y16" t="str">
        <f t="shared" si="0"/>
        <v>L'',</v>
      </c>
      <c r="Z16" t="str">
        <f t="shared" si="0"/>
        <v>L'',</v>
      </c>
      <c r="AA16" t="str">
        <f t="shared" si="0"/>
        <v>L'',</v>
      </c>
      <c r="AB16" t="str">
        <f t="shared" si="0"/>
        <v>L'',</v>
      </c>
      <c r="AC16" t="str">
        <f t="shared" si="0"/>
        <v>L'',</v>
      </c>
      <c r="AD16" t="str">
        <f t="shared" si="0"/>
        <v>L'',</v>
      </c>
      <c r="AE16" t="str">
        <f t="shared" si="0"/>
        <v>L'',</v>
      </c>
      <c r="AF16" t="str">
        <f t="shared" si="0"/>
        <v>L'',</v>
      </c>
      <c r="AG16" t="str">
        <f t="shared" si="0"/>
        <v>L'',</v>
      </c>
      <c r="AH16" t="str">
        <f t="shared" si="0"/>
        <v>L'',</v>
      </c>
      <c r="AI16" t="str">
        <f t="shared" si="0"/>
        <v>L'',</v>
      </c>
    </row>
    <row r="17" spans="2:35" ht="26.5" customHeight="1">
      <c r="B17" s="1" t="s">
        <v>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t="str">
        <f t="shared" si="1"/>
        <v>L'',</v>
      </c>
      <c r="U17" t="str">
        <f t="shared" si="0"/>
        <v>L'',</v>
      </c>
      <c r="V17" t="str">
        <f t="shared" si="0"/>
        <v>L'',</v>
      </c>
      <c r="W17" t="str">
        <f t="shared" si="0"/>
        <v>L'',</v>
      </c>
      <c r="X17" t="str">
        <f t="shared" si="0"/>
        <v>L'',</v>
      </c>
      <c r="Y17" t="str">
        <f t="shared" si="0"/>
        <v>L'',</v>
      </c>
      <c r="Z17" t="str">
        <f t="shared" si="0"/>
        <v>L'',</v>
      </c>
      <c r="AA17" t="str">
        <f t="shared" si="0"/>
        <v>L'',</v>
      </c>
      <c r="AB17" t="str">
        <f t="shared" si="0"/>
        <v>L'',</v>
      </c>
      <c r="AC17" t="str">
        <f t="shared" si="0"/>
        <v>L'',</v>
      </c>
      <c r="AD17" t="str">
        <f t="shared" si="0"/>
        <v>L'',</v>
      </c>
      <c r="AE17" t="str">
        <f t="shared" si="0"/>
        <v>L'',</v>
      </c>
      <c r="AF17" t="str">
        <f t="shared" si="0"/>
        <v>L'',</v>
      </c>
      <c r="AG17" t="str">
        <f t="shared" si="0"/>
        <v>L'',</v>
      </c>
      <c r="AH17" t="str">
        <f t="shared" si="0"/>
        <v>L'',</v>
      </c>
      <c r="AI17" t="str">
        <f t="shared" si="0"/>
        <v>L'',</v>
      </c>
    </row>
    <row r="18" spans="2:35" ht="26.5" customHeight="1">
      <c r="B18" s="1" t="s">
        <v>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t="str">
        <f t="shared" si="1"/>
        <v>L'',</v>
      </c>
      <c r="U18" t="str">
        <f t="shared" si="0"/>
        <v>L'',</v>
      </c>
      <c r="V18" t="str">
        <f t="shared" si="0"/>
        <v>L'',</v>
      </c>
      <c r="W18" t="str">
        <f t="shared" si="0"/>
        <v>L'',</v>
      </c>
      <c r="X18" t="str">
        <f t="shared" si="0"/>
        <v>L'',</v>
      </c>
      <c r="Y18" t="str">
        <f t="shared" si="0"/>
        <v>L'',</v>
      </c>
      <c r="Z18" t="str">
        <f t="shared" si="0"/>
        <v>L'',</v>
      </c>
      <c r="AA18" t="str">
        <f t="shared" si="0"/>
        <v>L'',</v>
      </c>
      <c r="AB18" t="str">
        <f t="shared" si="0"/>
        <v>L'',</v>
      </c>
      <c r="AC18" t="str">
        <f t="shared" si="0"/>
        <v>L'',</v>
      </c>
      <c r="AD18" t="str">
        <f t="shared" si="0"/>
        <v>L'',</v>
      </c>
      <c r="AE18" t="str">
        <f t="shared" si="0"/>
        <v>L'',</v>
      </c>
      <c r="AF18" t="str">
        <f t="shared" si="0"/>
        <v>L'',</v>
      </c>
      <c r="AG18" t="str">
        <f t="shared" si="0"/>
        <v>L'',</v>
      </c>
      <c r="AH18" t="str">
        <f t="shared" si="0"/>
        <v>L'',</v>
      </c>
      <c r="AI18" t="str">
        <f t="shared" si="0"/>
        <v>L'',</v>
      </c>
    </row>
    <row r="19" spans="2:35" ht="26.5" customHeight="1">
      <c r="C19" s="2"/>
      <c r="D19" s="2"/>
      <c r="E19" s="2"/>
      <c r="F19" s="2"/>
      <c r="G19" s="2"/>
      <c r="H19" s="2"/>
      <c r="I19" s="2"/>
      <c r="J19" s="7" t="s">
        <v>190</v>
      </c>
      <c r="K19" s="8">
        <v>1</v>
      </c>
      <c r="L19" s="2"/>
      <c r="M19" s="2"/>
      <c r="N19" s="2"/>
      <c r="O19" s="2"/>
      <c r="P19" s="2"/>
      <c r="Q19" s="2"/>
      <c r="R19" s="2"/>
    </row>
    <row r="20" spans="2:35" ht="26.5" customHeight="1">
      <c r="K20" t="s">
        <v>174</v>
      </c>
    </row>
    <row r="21" spans="2:35" ht="26.5" customHeight="1">
      <c r="B21" s="2" t="s">
        <v>98</v>
      </c>
      <c r="C21" s="2" t="s">
        <v>99</v>
      </c>
      <c r="D21" s="2" t="s">
        <v>100</v>
      </c>
      <c r="E21" s="2" t="s">
        <v>173</v>
      </c>
      <c r="F21" s="2"/>
      <c r="G21" s="2"/>
      <c r="K21" t="s">
        <v>187</v>
      </c>
    </row>
    <row r="22" spans="2:35" ht="26.5" customHeight="1">
      <c r="B22" s="2">
        <v>0</v>
      </c>
      <c r="C22" s="2">
        <f>ROUNDDOWN(B22/16,0)</f>
        <v>0</v>
      </c>
      <c r="D22" s="2">
        <f>MOD(B22,16)</f>
        <v>0</v>
      </c>
      <c r="E22" s="2" t="str">
        <f>IF(INDEX($C$3:$R$18,C22+1,D22+1)="","",INDEX($C$3:$R$18,C22+1,D22+1))</f>
        <v/>
      </c>
      <c r="F22" s="2"/>
      <c r="G22" s="2"/>
      <c r="K22" t="str">
        <f>"case "&amp;"L'"&amp;E22&amp;"'"&amp;": "&amp;"bmcode = 0x"&amp;RIGHT("0000"&amp;DEC2HEX($K$19*256+C22*16+D22),4)&amp;"; break;"</f>
        <v>case L'': bmcode = 0x0100; break;</v>
      </c>
    </row>
    <row r="23" spans="2:35" ht="26.5" customHeight="1">
      <c r="B23" s="2">
        <v>1</v>
      </c>
      <c r="C23" s="2">
        <f t="shared" ref="C22:C85" si="2">ROUNDDOWN(B23/16,0)</f>
        <v>0</v>
      </c>
      <c r="D23" s="2">
        <f t="shared" ref="D23:D86" si="3">MOD(B23,16)</f>
        <v>1</v>
      </c>
      <c r="E23" s="2" t="str">
        <f t="shared" ref="E23:E86" si="4">IF(INDEX($C$3:$R$18,C23+1,D23+1)="","",INDEX($C$3:$R$18,C23+1,D23+1))</f>
        <v/>
      </c>
      <c r="F23" s="2"/>
      <c r="G23" s="2"/>
      <c r="K23" t="str">
        <f t="shared" ref="K23:K86" si="5">"case "&amp;"L'"&amp;E23&amp;"'"&amp;": "&amp;"bmcode = 0x"&amp;RIGHT("0000"&amp;DEC2HEX($K$19*256+C23*16+D23),4)&amp;"; break;"</f>
        <v>case L'': bmcode = 0x0101; break;</v>
      </c>
    </row>
    <row r="24" spans="2:35" ht="26.5" customHeight="1">
      <c r="B24" s="2">
        <v>2</v>
      </c>
      <c r="C24" s="2">
        <f t="shared" si="2"/>
        <v>0</v>
      </c>
      <c r="D24" s="2">
        <f t="shared" si="3"/>
        <v>2</v>
      </c>
      <c r="E24" s="2" t="str">
        <f t="shared" si="4"/>
        <v/>
      </c>
      <c r="F24" s="2"/>
      <c r="G24" s="2"/>
      <c r="K24" t="str">
        <f t="shared" si="5"/>
        <v>case L'': bmcode = 0x0102; break;</v>
      </c>
    </row>
    <row r="25" spans="2:35" ht="26.5" customHeight="1">
      <c r="B25" s="2">
        <v>3</v>
      </c>
      <c r="C25" s="2">
        <f t="shared" si="2"/>
        <v>0</v>
      </c>
      <c r="D25" s="2">
        <f t="shared" si="3"/>
        <v>3</v>
      </c>
      <c r="E25" s="2" t="str">
        <f t="shared" si="4"/>
        <v/>
      </c>
      <c r="F25" s="2"/>
      <c r="G25" s="2"/>
      <c r="K25" t="str">
        <f t="shared" si="5"/>
        <v>case L'': bmcode = 0x0103; break;</v>
      </c>
    </row>
    <row r="26" spans="2:35" ht="26.5" customHeight="1">
      <c r="B26" s="2">
        <v>4</v>
      </c>
      <c r="C26" s="2">
        <f t="shared" si="2"/>
        <v>0</v>
      </c>
      <c r="D26" s="2">
        <f t="shared" si="3"/>
        <v>4</v>
      </c>
      <c r="E26" s="2" t="str">
        <f>IF(INDEX($C$3:$R$18,C26+1,D26+1)="","",INDEX($C$3:$R$18,C26+1,D26+1))</f>
        <v/>
      </c>
      <c r="F26" s="2"/>
      <c r="G26" s="2"/>
      <c r="K26" t="str">
        <f t="shared" si="5"/>
        <v>case L'': bmcode = 0x0104; break;</v>
      </c>
    </row>
    <row r="27" spans="2:35" ht="26.5" customHeight="1">
      <c r="B27" s="2">
        <v>5</v>
      </c>
      <c r="C27" s="2">
        <f t="shared" si="2"/>
        <v>0</v>
      </c>
      <c r="D27" s="2">
        <f t="shared" si="3"/>
        <v>5</v>
      </c>
      <c r="E27" s="2" t="str">
        <f t="shared" si="4"/>
        <v/>
      </c>
      <c r="F27" s="2"/>
      <c r="G27" s="2"/>
      <c r="K27" t="str">
        <f t="shared" si="5"/>
        <v>case L'': bmcode = 0x0105; break;</v>
      </c>
    </row>
    <row r="28" spans="2:35" ht="26.5" customHeight="1">
      <c r="B28" s="2">
        <v>6</v>
      </c>
      <c r="C28" s="2">
        <f t="shared" si="2"/>
        <v>0</v>
      </c>
      <c r="D28" s="2">
        <f t="shared" si="3"/>
        <v>6</v>
      </c>
      <c r="E28" s="2" t="str">
        <f t="shared" si="4"/>
        <v/>
      </c>
      <c r="F28" s="2"/>
      <c r="G28" s="2"/>
      <c r="K28" t="str">
        <f t="shared" si="5"/>
        <v>case L'': bmcode = 0x0106; break;</v>
      </c>
    </row>
    <row r="29" spans="2:35" ht="26.5" customHeight="1">
      <c r="B29" s="2">
        <v>7</v>
      </c>
      <c r="C29" s="2">
        <f t="shared" si="2"/>
        <v>0</v>
      </c>
      <c r="D29" s="2">
        <f t="shared" si="3"/>
        <v>7</v>
      </c>
      <c r="E29" s="2" t="str">
        <f t="shared" si="4"/>
        <v/>
      </c>
      <c r="F29" s="2"/>
      <c r="G29" s="2"/>
      <c r="K29" t="str">
        <f t="shared" si="5"/>
        <v>case L'': bmcode = 0x0107; break;</v>
      </c>
    </row>
    <row r="30" spans="2:35" ht="26.5" customHeight="1">
      <c r="B30" s="2">
        <v>8</v>
      </c>
      <c r="C30" s="2">
        <f t="shared" si="2"/>
        <v>0</v>
      </c>
      <c r="D30" s="2">
        <f t="shared" si="3"/>
        <v>8</v>
      </c>
      <c r="E30" s="2" t="str">
        <f t="shared" si="4"/>
        <v/>
      </c>
      <c r="F30" s="2"/>
      <c r="G30" s="2"/>
      <c r="K30" t="str">
        <f t="shared" si="5"/>
        <v>case L'': bmcode = 0x0108; break;</v>
      </c>
    </row>
    <row r="31" spans="2:35" ht="26.5" customHeight="1">
      <c r="B31" s="2">
        <v>9</v>
      </c>
      <c r="C31" s="2">
        <f t="shared" si="2"/>
        <v>0</v>
      </c>
      <c r="D31" s="2">
        <f t="shared" si="3"/>
        <v>9</v>
      </c>
      <c r="E31" s="2" t="str">
        <f t="shared" si="4"/>
        <v/>
      </c>
      <c r="F31" s="2"/>
      <c r="G31" s="2"/>
      <c r="K31" t="str">
        <f t="shared" si="5"/>
        <v>case L'': bmcode = 0x0109; break;</v>
      </c>
    </row>
    <row r="32" spans="2:35" ht="26.5" customHeight="1">
      <c r="B32" s="2">
        <v>10</v>
      </c>
      <c r="C32" s="2">
        <f t="shared" si="2"/>
        <v>0</v>
      </c>
      <c r="D32" s="2">
        <f t="shared" si="3"/>
        <v>10</v>
      </c>
      <c r="E32" s="2" t="str">
        <f t="shared" si="4"/>
        <v/>
      </c>
      <c r="F32" s="2"/>
      <c r="G32" s="2"/>
      <c r="K32" t="str">
        <f t="shared" si="5"/>
        <v>case L'': bmcode = 0x010A; break;</v>
      </c>
    </row>
    <row r="33" spans="2:11" ht="26.5" customHeight="1">
      <c r="B33" s="2">
        <v>11</v>
      </c>
      <c r="C33" s="2">
        <f t="shared" si="2"/>
        <v>0</v>
      </c>
      <c r="D33" s="2">
        <f t="shared" si="3"/>
        <v>11</v>
      </c>
      <c r="E33" s="2" t="str">
        <f t="shared" si="4"/>
        <v/>
      </c>
      <c r="F33" s="2"/>
      <c r="G33" s="2"/>
      <c r="K33" t="str">
        <f t="shared" si="5"/>
        <v>case L'': bmcode = 0x010B; break;</v>
      </c>
    </row>
    <row r="34" spans="2:11" ht="26.5" customHeight="1">
      <c r="B34" s="2">
        <v>12</v>
      </c>
      <c r="C34" s="2">
        <f t="shared" si="2"/>
        <v>0</v>
      </c>
      <c r="D34" s="2">
        <f t="shared" si="3"/>
        <v>12</v>
      </c>
      <c r="E34" s="2" t="str">
        <f t="shared" si="4"/>
        <v/>
      </c>
      <c r="F34" s="2"/>
      <c r="G34" s="2"/>
      <c r="K34" t="str">
        <f t="shared" si="5"/>
        <v>case L'': bmcode = 0x010C; break;</v>
      </c>
    </row>
    <row r="35" spans="2:11" ht="26.5" customHeight="1">
      <c r="B35" s="2">
        <v>13</v>
      </c>
      <c r="C35" s="2">
        <f t="shared" si="2"/>
        <v>0</v>
      </c>
      <c r="D35" s="2">
        <f t="shared" si="3"/>
        <v>13</v>
      </c>
      <c r="E35" s="2" t="str">
        <f t="shared" si="4"/>
        <v/>
      </c>
      <c r="F35" s="2"/>
      <c r="G35" s="2"/>
      <c r="K35" t="str">
        <f t="shared" si="5"/>
        <v>case L'': bmcode = 0x010D; break;</v>
      </c>
    </row>
    <row r="36" spans="2:11" ht="26.5" customHeight="1">
      <c r="B36" s="2">
        <v>14</v>
      </c>
      <c r="C36" s="2">
        <f t="shared" si="2"/>
        <v>0</v>
      </c>
      <c r="D36" s="2">
        <f t="shared" si="3"/>
        <v>14</v>
      </c>
      <c r="E36" s="2" t="str">
        <f t="shared" si="4"/>
        <v/>
      </c>
      <c r="F36" s="2"/>
      <c r="G36" s="2"/>
      <c r="K36" t="str">
        <f t="shared" si="5"/>
        <v>case L'': bmcode = 0x010E; break;</v>
      </c>
    </row>
    <row r="37" spans="2:11" ht="26.5" customHeight="1">
      <c r="B37" s="2">
        <v>15</v>
      </c>
      <c r="C37" s="2">
        <f t="shared" si="2"/>
        <v>0</v>
      </c>
      <c r="D37" s="2">
        <f t="shared" si="3"/>
        <v>15</v>
      </c>
      <c r="E37" s="2" t="str">
        <f t="shared" si="4"/>
        <v/>
      </c>
      <c r="F37" s="2"/>
      <c r="G37" s="2"/>
      <c r="K37" t="str">
        <f t="shared" si="5"/>
        <v>case L'': bmcode = 0x010F; break;</v>
      </c>
    </row>
    <row r="38" spans="2:11" ht="26.5" customHeight="1">
      <c r="B38" s="2">
        <v>16</v>
      </c>
      <c r="C38" s="2">
        <f t="shared" si="2"/>
        <v>1</v>
      </c>
      <c r="D38" s="2">
        <f t="shared" si="3"/>
        <v>0</v>
      </c>
      <c r="E38" s="2" t="str">
        <f t="shared" si="4"/>
        <v/>
      </c>
      <c r="F38" s="2"/>
      <c r="G38" s="2"/>
      <c r="K38" t="str">
        <f t="shared" si="5"/>
        <v>case L'': bmcode = 0x0110; break;</v>
      </c>
    </row>
    <row r="39" spans="2:11" ht="26.5" customHeight="1">
      <c r="B39" s="2">
        <v>17</v>
      </c>
      <c r="C39" s="2">
        <f t="shared" si="2"/>
        <v>1</v>
      </c>
      <c r="D39" s="2">
        <f t="shared" si="3"/>
        <v>1</v>
      </c>
      <c r="E39" s="2" t="str">
        <f t="shared" si="4"/>
        <v/>
      </c>
      <c r="F39" s="2"/>
      <c r="G39" s="2"/>
      <c r="K39" t="str">
        <f t="shared" si="5"/>
        <v>case L'': bmcode = 0x0111; break;</v>
      </c>
    </row>
    <row r="40" spans="2:11" ht="26.5" customHeight="1">
      <c r="B40" s="2">
        <v>18</v>
      </c>
      <c r="C40" s="2">
        <f t="shared" si="2"/>
        <v>1</v>
      </c>
      <c r="D40" s="2">
        <f t="shared" si="3"/>
        <v>2</v>
      </c>
      <c r="E40" s="2" t="str">
        <f t="shared" si="4"/>
        <v/>
      </c>
      <c r="F40" s="2"/>
      <c r="G40" s="2"/>
      <c r="K40" t="str">
        <f t="shared" si="5"/>
        <v>case L'': bmcode = 0x0112; break;</v>
      </c>
    </row>
    <row r="41" spans="2:11" ht="26.5" customHeight="1">
      <c r="B41" s="2">
        <v>19</v>
      </c>
      <c r="C41" s="2">
        <f t="shared" si="2"/>
        <v>1</v>
      </c>
      <c r="D41" s="2">
        <f t="shared" si="3"/>
        <v>3</v>
      </c>
      <c r="E41" s="2" t="str">
        <f t="shared" si="4"/>
        <v/>
      </c>
      <c r="F41" s="2"/>
      <c r="G41" s="2"/>
      <c r="K41" t="str">
        <f t="shared" si="5"/>
        <v>case L'': bmcode = 0x0113; break;</v>
      </c>
    </row>
    <row r="42" spans="2:11" ht="26.5" customHeight="1">
      <c r="B42" s="2">
        <v>20</v>
      </c>
      <c r="C42" s="2">
        <f t="shared" si="2"/>
        <v>1</v>
      </c>
      <c r="D42" s="2">
        <f t="shared" si="3"/>
        <v>4</v>
      </c>
      <c r="E42" s="2" t="str">
        <f t="shared" si="4"/>
        <v/>
      </c>
      <c r="F42" s="2"/>
      <c r="G42" s="2"/>
      <c r="K42" t="str">
        <f t="shared" si="5"/>
        <v>case L'': bmcode = 0x0114; break;</v>
      </c>
    </row>
    <row r="43" spans="2:11" ht="26.5" customHeight="1">
      <c r="B43" s="2">
        <v>21</v>
      </c>
      <c r="C43" s="2">
        <f t="shared" si="2"/>
        <v>1</v>
      </c>
      <c r="D43" s="2">
        <f t="shared" si="3"/>
        <v>5</v>
      </c>
      <c r="E43" s="2" t="str">
        <f t="shared" si="4"/>
        <v/>
      </c>
      <c r="F43" s="2"/>
      <c r="G43" s="2"/>
      <c r="K43" t="str">
        <f t="shared" si="5"/>
        <v>case L'': bmcode = 0x0115; break;</v>
      </c>
    </row>
    <row r="44" spans="2:11" ht="26.5" customHeight="1">
      <c r="B44" s="2">
        <v>22</v>
      </c>
      <c r="C44" s="2">
        <f t="shared" si="2"/>
        <v>1</v>
      </c>
      <c r="D44" s="2">
        <f t="shared" si="3"/>
        <v>6</v>
      </c>
      <c r="E44" s="2" t="str">
        <f t="shared" si="4"/>
        <v/>
      </c>
      <c r="F44" s="2"/>
      <c r="G44" s="2"/>
      <c r="K44" t="str">
        <f t="shared" si="5"/>
        <v>case L'': bmcode = 0x0116; break;</v>
      </c>
    </row>
    <row r="45" spans="2:11" ht="26.5" customHeight="1">
      <c r="B45" s="2">
        <v>23</v>
      </c>
      <c r="C45" s="2">
        <f t="shared" si="2"/>
        <v>1</v>
      </c>
      <c r="D45" s="2">
        <f t="shared" si="3"/>
        <v>7</v>
      </c>
      <c r="E45" s="2" t="str">
        <f t="shared" si="4"/>
        <v/>
      </c>
      <c r="F45" s="2"/>
      <c r="G45" s="2"/>
      <c r="K45" t="str">
        <f t="shared" si="5"/>
        <v>case L'': bmcode = 0x0117; break;</v>
      </c>
    </row>
    <row r="46" spans="2:11" ht="26.5" customHeight="1">
      <c r="B46" s="2">
        <v>24</v>
      </c>
      <c r="C46" s="2">
        <f t="shared" si="2"/>
        <v>1</v>
      </c>
      <c r="D46" s="2">
        <f t="shared" si="3"/>
        <v>8</v>
      </c>
      <c r="E46" s="2" t="str">
        <f t="shared" si="4"/>
        <v/>
      </c>
      <c r="F46" s="2"/>
      <c r="G46" s="2"/>
      <c r="K46" t="str">
        <f t="shared" si="5"/>
        <v>case L'': bmcode = 0x0118; break;</v>
      </c>
    </row>
    <row r="47" spans="2:11" ht="26.5" customHeight="1">
      <c r="B47" s="2">
        <v>25</v>
      </c>
      <c r="C47" s="2">
        <f t="shared" si="2"/>
        <v>1</v>
      </c>
      <c r="D47" s="2">
        <f t="shared" si="3"/>
        <v>9</v>
      </c>
      <c r="E47" s="2" t="str">
        <f t="shared" si="4"/>
        <v/>
      </c>
      <c r="F47" s="2"/>
      <c r="G47" s="2"/>
      <c r="K47" t="str">
        <f t="shared" si="5"/>
        <v>case L'': bmcode = 0x0119; break;</v>
      </c>
    </row>
    <row r="48" spans="2:11" ht="26.5" customHeight="1">
      <c r="B48" s="2">
        <v>26</v>
      </c>
      <c r="C48" s="2">
        <f t="shared" si="2"/>
        <v>1</v>
      </c>
      <c r="D48" s="2">
        <f t="shared" si="3"/>
        <v>10</v>
      </c>
      <c r="E48" s="2" t="str">
        <f t="shared" si="4"/>
        <v/>
      </c>
      <c r="F48" s="2"/>
      <c r="G48" s="2"/>
      <c r="K48" t="str">
        <f t="shared" si="5"/>
        <v>case L'': bmcode = 0x011A; break;</v>
      </c>
    </row>
    <row r="49" spans="2:11" ht="26.5" customHeight="1">
      <c r="B49" s="2">
        <v>27</v>
      </c>
      <c r="C49" s="2">
        <f t="shared" si="2"/>
        <v>1</v>
      </c>
      <c r="D49" s="2">
        <f t="shared" si="3"/>
        <v>11</v>
      </c>
      <c r="E49" s="2" t="str">
        <f t="shared" si="4"/>
        <v/>
      </c>
      <c r="F49" s="2"/>
      <c r="G49" s="2"/>
      <c r="K49" t="str">
        <f t="shared" si="5"/>
        <v>case L'': bmcode = 0x011B; break;</v>
      </c>
    </row>
    <row r="50" spans="2:11" ht="26.5" customHeight="1">
      <c r="B50" s="2">
        <v>28</v>
      </c>
      <c r="C50" s="2">
        <f t="shared" si="2"/>
        <v>1</v>
      </c>
      <c r="D50" s="2">
        <f t="shared" si="3"/>
        <v>12</v>
      </c>
      <c r="E50" s="2" t="str">
        <f t="shared" si="4"/>
        <v/>
      </c>
      <c r="F50" s="2"/>
      <c r="G50" s="2"/>
      <c r="K50" t="str">
        <f t="shared" si="5"/>
        <v>case L'': bmcode = 0x011C; break;</v>
      </c>
    </row>
    <row r="51" spans="2:11" ht="26.5" customHeight="1">
      <c r="B51" s="2">
        <v>29</v>
      </c>
      <c r="C51" s="2">
        <f t="shared" si="2"/>
        <v>1</v>
      </c>
      <c r="D51" s="2">
        <f t="shared" si="3"/>
        <v>13</v>
      </c>
      <c r="E51" s="2" t="str">
        <f t="shared" si="4"/>
        <v/>
      </c>
      <c r="F51" s="2"/>
      <c r="G51" s="2"/>
      <c r="K51" t="str">
        <f t="shared" si="5"/>
        <v>case L'': bmcode = 0x011D; break;</v>
      </c>
    </row>
    <row r="52" spans="2:11" ht="26.5" customHeight="1">
      <c r="B52" s="2">
        <v>30</v>
      </c>
      <c r="C52" s="2">
        <f t="shared" si="2"/>
        <v>1</v>
      </c>
      <c r="D52" s="2">
        <f t="shared" si="3"/>
        <v>14</v>
      </c>
      <c r="E52" s="2" t="str">
        <f t="shared" si="4"/>
        <v/>
      </c>
      <c r="F52" s="2"/>
      <c r="G52" s="2"/>
      <c r="K52" t="str">
        <f t="shared" si="5"/>
        <v>case L'': bmcode = 0x011E; break;</v>
      </c>
    </row>
    <row r="53" spans="2:11" ht="26.5" customHeight="1">
      <c r="B53" s="2">
        <v>31</v>
      </c>
      <c r="C53" s="2">
        <f t="shared" si="2"/>
        <v>1</v>
      </c>
      <c r="D53" s="2">
        <f t="shared" si="3"/>
        <v>15</v>
      </c>
      <c r="E53" s="2" t="str">
        <f t="shared" si="4"/>
        <v/>
      </c>
      <c r="F53" s="2"/>
      <c r="G53" s="2"/>
      <c r="K53" t="str">
        <f t="shared" si="5"/>
        <v>case L'': bmcode = 0x011F; break;</v>
      </c>
    </row>
    <row r="54" spans="2:11" ht="26.5" customHeight="1">
      <c r="B54" s="2">
        <v>32</v>
      </c>
      <c r="C54" s="2">
        <f t="shared" si="2"/>
        <v>2</v>
      </c>
      <c r="D54" s="2">
        <f t="shared" si="3"/>
        <v>0</v>
      </c>
      <c r="E54" s="2" t="str">
        <f t="shared" si="4"/>
        <v/>
      </c>
      <c r="F54" s="2"/>
      <c r="G54" s="2"/>
      <c r="K54" t="str">
        <f t="shared" si="5"/>
        <v>case L'': bmcode = 0x0120; break;</v>
      </c>
    </row>
    <row r="55" spans="2:11" ht="26.5" customHeight="1">
      <c r="B55" s="2">
        <v>33</v>
      </c>
      <c r="C55" s="2">
        <f t="shared" si="2"/>
        <v>2</v>
      </c>
      <c r="D55" s="2">
        <f t="shared" si="3"/>
        <v>1</v>
      </c>
      <c r="E55" s="2" t="str">
        <f t="shared" si="4"/>
        <v/>
      </c>
      <c r="F55" s="2"/>
      <c r="G55" s="2"/>
      <c r="K55" t="str">
        <f t="shared" si="5"/>
        <v>case L'': bmcode = 0x0121; break;</v>
      </c>
    </row>
    <row r="56" spans="2:11" ht="26.5" customHeight="1">
      <c r="B56" s="2">
        <v>34</v>
      </c>
      <c r="C56" s="2">
        <f t="shared" si="2"/>
        <v>2</v>
      </c>
      <c r="D56" s="2">
        <f t="shared" si="3"/>
        <v>2</v>
      </c>
      <c r="E56" s="2" t="str">
        <f t="shared" si="4"/>
        <v/>
      </c>
      <c r="F56" s="2"/>
      <c r="G56" s="2"/>
      <c r="K56" t="str">
        <f t="shared" si="5"/>
        <v>case L'': bmcode = 0x0122; break;</v>
      </c>
    </row>
    <row r="57" spans="2:11" ht="26.5" customHeight="1">
      <c r="B57" s="2">
        <v>35</v>
      </c>
      <c r="C57" s="2">
        <f t="shared" si="2"/>
        <v>2</v>
      </c>
      <c r="D57" s="2">
        <f t="shared" si="3"/>
        <v>3</v>
      </c>
      <c r="E57" s="2" t="str">
        <f t="shared" si="4"/>
        <v/>
      </c>
      <c r="F57" s="2"/>
      <c r="G57" s="2"/>
      <c r="K57" t="str">
        <f t="shared" si="5"/>
        <v>case L'': bmcode = 0x0123; break;</v>
      </c>
    </row>
    <row r="58" spans="2:11" ht="26.5" customHeight="1">
      <c r="B58" s="2">
        <v>36</v>
      </c>
      <c r="C58" s="2">
        <f t="shared" si="2"/>
        <v>2</v>
      </c>
      <c r="D58" s="2">
        <f t="shared" si="3"/>
        <v>4</v>
      </c>
      <c r="E58" s="2" t="str">
        <f t="shared" si="4"/>
        <v/>
      </c>
      <c r="F58" s="2"/>
      <c r="G58" s="2"/>
      <c r="K58" t="str">
        <f t="shared" si="5"/>
        <v>case L'': bmcode = 0x0124; break;</v>
      </c>
    </row>
    <row r="59" spans="2:11" ht="26.5" customHeight="1">
      <c r="B59" s="2">
        <v>37</v>
      </c>
      <c r="C59" s="2">
        <f t="shared" si="2"/>
        <v>2</v>
      </c>
      <c r="D59" s="2">
        <f t="shared" si="3"/>
        <v>5</v>
      </c>
      <c r="E59" s="2" t="str">
        <f t="shared" si="4"/>
        <v/>
      </c>
      <c r="F59" s="2"/>
      <c r="G59" s="2"/>
      <c r="K59" t="str">
        <f t="shared" si="5"/>
        <v>case L'': bmcode = 0x0125; break;</v>
      </c>
    </row>
    <row r="60" spans="2:11" ht="26.5" customHeight="1">
      <c r="B60" s="2">
        <v>38</v>
      </c>
      <c r="C60" s="2">
        <f t="shared" si="2"/>
        <v>2</v>
      </c>
      <c r="D60" s="2">
        <f t="shared" si="3"/>
        <v>6</v>
      </c>
      <c r="E60" s="2" t="str">
        <f t="shared" si="4"/>
        <v/>
      </c>
      <c r="F60" s="2"/>
      <c r="G60" s="2"/>
      <c r="K60" t="str">
        <f t="shared" si="5"/>
        <v>case L'': bmcode = 0x0126; break;</v>
      </c>
    </row>
    <row r="61" spans="2:11" ht="26.5" customHeight="1">
      <c r="B61" s="2">
        <v>39</v>
      </c>
      <c r="C61" s="2">
        <f t="shared" si="2"/>
        <v>2</v>
      </c>
      <c r="D61" s="2">
        <f t="shared" si="3"/>
        <v>7</v>
      </c>
      <c r="E61" s="2" t="str">
        <f t="shared" si="4"/>
        <v/>
      </c>
      <c r="F61" s="2"/>
      <c r="G61" s="2"/>
      <c r="K61" t="str">
        <f t="shared" si="5"/>
        <v>case L'': bmcode = 0x0127; break;</v>
      </c>
    </row>
    <row r="62" spans="2:11" ht="26.5" customHeight="1">
      <c r="B62" s="2">
        <v>40</v>
      </c>
      <c r="C62" s="2">
        <f t="shared" si="2"/>
        <v>2</v>
      </c>
      <c r="D62" s="2">
        <f t="shared" si="3"/>
        <v>8</v>
      </c>
      <c r="E62" s="2" t="str">
        <f t="shared" si="4"/>
        <v/>
      </c>
      <c r="F62" s="2"/>
      <c r="G62" s="2"/>
      <c r="K62" t="str">
        <f t="shared" si="5"/>
        <v>case L'': bmcode = 0x0128; break;</v>
      </c>
    </row>
    <row r="63" spans="2:11" ht="26.5" customHeight="1">
      <c r="B63" s="2">
        <v>41</v>
      </c>
      <c r="C63" s="2">
        <f t="shared" si="2"/>
        <v>2</v>
      </c>
      <c r="D63" s="2">
        <f t="shared" si="3"/>
        <v>9</v>
      </c>
      <c r="E63" s="2" t="str">
        <f t="shared" si="4"/>
        <v/>
      </c>
      <c r="F63" s="2"/>
      <c r="G63" s="2"/>
      <c r="K63" t="str">
        <f t="shared" si="5"/>
        <v>case L'': bmcode = 0x0129; break;</v>
      </c>
    </row>
    <row r="64" spans="2:11" ht="26.5" customHeight="1">
      <c r="B64" s="2">
        <v>42</v>
      </c>
      <c r="C64" s="2">
        <f t="shared" si="2"/>
        <v>2</v>
      </c>
      <c r="D64" s="2">
        <f t="shared" si="3"/>
        <v>10</v>
      </c>
      <c r="E64" s="2" t="str">
        <f t="shared" si="4"/>
        <v/>
      </c>
      <c r="F64" s="2"/>
      <c r="G64" s="2"/>
      <c r="K64" t="str">
        <f t="shared" si="5"/>
        <v>case L'': bmcode = 0x012A; break;</v>
      </c>
    </row>
    <row r="65" spans="2:11" ht="26.5" customHeight="1">
      <c r="B65" s="2">
        <v>43</v>
      </c>
      <c r="C65" s="2">
        <f t="shared" si="2"/>
        <v>2</v>
      </c>
      <c r="D65" s="2">
        <f t="shared" si="3"/>
        <v>11</v>
      </c>
      <c r="E65" s="2" t="str">
        <f t="shared" si="4"/>
        <v/>
      </c>
      <c r="F65" s="2"/>
      <c r="G65" s="2"/>
      <c r="K65" t="str">
        <f t="shared" si="5"/>
        <v>case L'': bmcode = 0x012B; break;</v>
      </c>
    </row>
    <row r="66" spans="2:11" ht="26.5" customHeight="1">
      <c r="B66" s="2">
        <v>44</v>
      </c>
      <c r="C66" s="2">
        <f t="shared" si="2"/>
        <v>2</v>
      </c>
      <c r="D66" s="2">
        <f t="shared" si="3"/>
        <v>12</v>
      </c>
      <c r="E66" s="2" t="str">
        <f t="shared" si="4"/>
        <v/>
      </c>
      <c r="F66" s="2"/>
      <c r="G66" s="2"/>
      <c r="K66" t="str">
        <f t="shared" si="5"/>
        <v>case L'': bmcode = 0x012C; break;</v>
      </c>
    </row>
    <row r="67" spans="2:11" ht="26.5" customHeight="1">
      <c r="B67" s="2">
        <v>45</v>
      </c>
      <c r="C67" s="2">
        <f t="shared" si="2"/>
        <v>2</v>
      </c>
      <c r="D67" s="2">
        <f t="shared" si="3"/>
        <v>13</v>
      </c>
      <c r="E67" s="2" t="str">
        <f t="shared" si="4"/>
        <v/>
      </c>
      <c r="F67" s="2"/>
      <c r="G67" s="2"/>
      <c r="K67" t="str">
        <f t="shared" si="5"/>
        <v>case L'': bmcode = 0x012D; break;</v>
      </c>
    </row>
    <row r="68" spans="2:11" ht="26.5" customHeight="1">
      <c r="B68" s="2">
        <v>46</v>
      </c>
      <c r="C68" s="2">
        <f t="shared" si="2"/>
        <v>2</v>
      </c>
      <c r="D68" s="2">
        <f t="shared" si="3"/>
        <v>14</v>
      </c>
      <c r="E68" s="2" t="str">
        <f t="shared" si="4"/>
        <v/>
      </c>
      <c r="F68" s="2"/>
      <c r="G68" s="2"/>
      <c r="K68" t="str">
        <f t="shared" si="5"/>
        <v>case L'': bmcode = 0x012E; break;</v>
      </c>
    </row>
    <row r="69" spans="2:11" ht="26.5" customHeight="1">
      <c r="B69" s="2">
        <v>47</v>
      </c>
      <c r="C69" s="2">
        <f t="shared" si="2"/>
        <v>2</v>
      </c>
      <c r="D69" s="2">
        <f t="shared" si="3"/>
        <v>15</v>
      </c>
      <c r="E69" s="2" t="str">
        <f t="shared" si="4"/>
        <v/>
      </c>
      <c r="F69" s="2"/>
      <c r="G69" s="2"/>
      <c r="K69" t="str">
        <f t="shared" si="5"/>
        <v>case L'': bmcode = 0x012F; break;</v>
      </c>
    </row>
    <row r="70" spans="2:11" ht="26.5" customHeight="1">
      <c r="B70" s="2">
        <v>48</v>
      </c>
      <c r="C70" s="2">
        <f t="shared" si="2"/>
        <v>3</v>
      </c>
      <c r="D70" s="2">
        <f t="shared" si="3"/>
        <v>0</v>
      </c>
      <c r="E70" s="2" t="str">
        <f t="shared" si="4"/>
        <v/>
      </c>
      <c r="F70" s="2"/>
      <c r="G70" s="2"/>
      <c r="K70" t="str">
        <f t="shared" si="5"/>
        <v>case L'': bmcode = 0x0130; break;</v>
      </c>
    </row>
    <row r="71" spans="2:11" ht="26.5" customHeight="1">
      <c r="B71" s="2">
        <v>49</v>
      </c>
      <c r="C71" s="2">
        <f t="shared" si="2"/>
        <v>3</v>
      </c>
      <c r="D71" s="2">
        <f t="shared" si="3"/>
        <v>1</v>
      </c>
      <c r="E71" s="2" t="str">
        <f t="shared" si="4"/>
        <v/>
      </c>
      <c r="F71" s="2"/>
      <c r="G71" s="2"/>
      <c r="K71" t="str">
        <f t="shared" si="5"/>
        <v>case L'': bmcode = 0x0131; break;</v>
      </c>
    </row>
    <row r="72" spans="2:11" ht="26.5" customHeight="1">
      <c r="B72" s="2">
        <v>50</v>
      </c>
      <c r="C72" s="2">
        <f t="shared" si="2"/>
        <v>3</v>
      </c>
      <c r="D72" s="2">
        <f t="shared" si="3"/>
        <v>2</v>
      </c>
      <c r="E72" s="2" t="str">
        <f t="shared" si="4"/>
        <v/>
      </c>
      <c r="F72" s="2"/>
      <c r="G72" s="2"/>
      <c r="K72" t="str">
        <f t="shared" si="5"/>
        <v>case L'': bmcode = 0x0132; break;</v>
      </c>
    </row>
    <row r="73" spans="2:11" ht="26.5" customHeight="1">
      <c r="B73" s="2">
        <v>51</v>
      </c>
      <c r="C73" s="2">
        <f t="shared" si="2"/>
        <v>3</v>
      </c>
      <c r="D73" s="2">
        <f t="shared" si="3"/>
        <v>3</v>
      </c>
      <c r="E73" s="2" t="str">
        <f t="shared" si="4"/>
        <v/>
      </c>
      <c r="F73" s="2"/>
      <c r="G73" s="2"/>
      <c r="K73" t="str">
        <f t="shared" si="5"/>
        <v>case L'': bmcode = 0x0133; break;</v>
      </c>
    </row>
    <row r="74" spans="2:11" ht="26.5" customHeight="1">
      <c r="B74" s="2">
        <v>52</v>
      </c>
      <c r="C74" s="2">
        <f t="shared" si="2"/>
        <v>3</v>
      </c>
      <c r="D74" s="2">
        <f t="shared" si="3"/>
        <v>4</v>
      </c>
      <c r="E74" s="2" t="str">
        <f t="shared" si="4"/>
        <v/>
      </c>
      <c r="F74" s="2"/>
      <c r="G74" s="2"/>
      <c r="K74" t="str">
        <f t="shared" si="5"/>
        <v>case L'': bmcode = 0x0134; break;</v>
      </c>
    </row>
    <row r="75" spans="2:11" ht="26.5" customHeight="1">
      <c r="B75" s="2">
        <v>53</v>
      </c>
      <c r="C75" s="2">
        <f t="shared" si="2"/>
        <v>3</v>
      </c>
      <c r="D75" s="2">
        <f t="shared" si="3"/>
        <v>5</v>
      </c>
      <c r="E75" s="2" t="str">
        <f t="shared" si="4"/>
        <v/>
      </c>
      <c r="F75" s="2"/>
      <c r="G75" s="2"/>
      <c r="K75" t="str">
        <f t="shared" si="5"/>
        <v>case L'': bmcode = 0x0135; break;</v>
      </c>
    </row>
    <row r="76" spans="2:11" ht="26.5" customHeight="1">
      <c r="B76" s="2">
        <v>54</v>
      </c>
      <c r="C76" s="2">
        <f t="shared" si="2"/>
        <v>3</v>
      </c>
      <c r="D76" s="2">
        <f t="shared" si="3"/>
        <v>6</v>
      </c>
      <c r="E76" s="2" t="str">
        <f t="shared" si="4"/>
        <v/>
      </c>
      <c r="F76" s="2"/>
      <c r="G76" s="2"/>
      <c r="K76" t="str">
        <f t="shared" si="5"/>
        <v>case L'': bmcode = 0x0136; break;</v>
      </c>
    </row>
    <row r="77" spans="2:11" ht="26.5" customHeight="1">
      <c r="B77" s="2">
        <v>55</v>
      </c>
      <c r="C77" s="2">
        <f t="shared" si="2"/>
        <v>3</v>
      </c>
      <c r="D77" s="2">
        <f t="shared" si="3"/>
        <v>7</v>
      </c>
      <c r="E77" s="2" t="str">
        <f t="shared" si="4"/>
        <v/>
      </c>
      <c r="F77" s="2"/>
      <c r="G77" s="2"/>
      <c r="K77" t="str">
        <f t="shared" si="5"/>
        <v>case L'': bmcode = 0x0137; break;</v>
      </c>
    </row>
    <row r="78" spans="2:11" ht="26.5" customHeight="1">
      <c r="B78" s="2">
        <v>56</v>
      </c>
      <c r="C78" s="2">
        <f t="shared" si="2"/>
        <v>3</v>
      </c>
      <c r="D78" s="2">
        <f t="shared" si="3"/>
        <v>8</v>
      </c>
      <c r="E78" s="2" t="str">
        <f t="shared" si="4"/>
        <v/>
      </c>
      <c r="F78" s="2"/>
      <c r="G78" s="2"/>
      <c r="K78" t="str">
        <f t="shared" si="5"/>
        <v>case L'': bmcode = 0x0138; break;</v>
      </c>
    </row>
    <row r="79" spans="2:11" ht="26.5" customHeight="1">
      <c r="B79" s="2">
        <v>57</v>
      </c>
      <c r="C79" s="2">
        <f t="shared" si="2"/>
        <v>3</v>
      </c>
      <c r="D79" s="2">
        <f t="shared" si="3"/>
        <v>9</v>
      </c>
      <c r="E79" s="2" t="str">
        <f t="shared" si="4"/>
        <v/>
      </c>
      <c r="F79" s="2"/>
      <c r="G79" s="2"/>
      <c r="K79" t="str">
        <f t="shared" si="5"/>
        <v>case L'': bmcode = 0x0139; break;</v>
      </c>
    </row>
    <row r="80" spans="2:11" ht="26.5" customHeight="1">
      <c r="B80" s="2">
        <v>58</v>
      </c>
      <c r="C80" s="2">
        <f t="shared" si="2"/>
        <v>3</v>
      </c>
      <c r="D80" s="2">
        <f t="shared" si="3"/>
        <v>10</v>
      </c>
      <c r="E80" s="2" t="str">
        <f t="shared" si="4"/>
        <v/>
      </c>
      <c r="F80" s="2"/>
      <c r="G80" s="2"/>
      <c r="K80" t="str">
        <f t="shared" si="5"/>
        <v>case L'': bmcode = 0x013A; break;</v>
      </c>
    </row>
    <row r="81" spans="2:11" ht="26.5" customHeight="1">
      <c r="B81" s="2">
        <v>59</v>
      </c>
      <c r="C81" s="2">
        <f t="shared" si="2"/>
        <v>3</v>
      </c>
      <c r="D81" s="2">
        <f t="shared" si="3"/>
        <v>11</v>
      </c>
      <c r="E81" s="2" t="str">
        <f t="shared" si="4"/>
        <v/>
      </c>
      <c r="F81" s="2"/>
      <c r="G81" s="2"/>
      <c r="K81" t="str">
        <f t="shared" si="5"/>
        <v>case L'': bmcode = 0x013B; break;</v>
      </c>
    </row>
    <row r="82" spans="2:11" ht="26.5" customHeight="1">
      <c r="B82" s="2">
        <v>60</v>
      </c>
      <c r="C82" s="2">
        <f t="shared" si="2"/>
        <v>3</v>
      </c>
      <c r="D82" s="2">
        <f t="shared" si="3"/>
        <v>12</v>
      </c>
      <c r="E82" s="2" t="str">
        <f t="shared" si="4"/>
        <v/>
      </c>
      <c r="F82" s="2"/>
      <c r="G82" s="2"/>
      <c r="K82" t="str">
        <f t="shared" si="5"/>
        <v>case L'': bmcode = 0x013C; break;</v>
      </c>
    </row>
    <row r="83" spans="2:11" ht="26.5" customHeight="1">
      <c r="B83" s="2">
        <v>61</v>
      </c>
      <c r="C83" s="2">
        <f t="shared" si="2"/>
        <v>3</v>
      </c>
      <c r="D83" s="2">
        <f t="shared" si="3"/>
        <v>13</v>
      </c>
      <c r="E83" s="2" t="str">
        <f t="shared" si="4"/>
        <v/>
      </c>
      <c r="F83" s="2"/>
      <c r="G83" s="2"/>
      <c r="K83" t="str">
        <f t="shared" si="5"/>
        <v>case L'': bmcode = 0x013D; break;</v>
      </c>
    </row>
    <row r="84" spans="2:11" ht="26.5" customHeight="1">
      <c r="B84" s="2">
        <v>62</v>
      </c>
      <c r="C84" s="2">
        <f t="shared" si="2"/>
        <v>3</v>
      </c>
      <c r="D84" s="2">
        <f t="shared" si="3"/>
        <v>14</v>
      </c>
      <c r="E84" s="2" t="str">
        <f t="shared" si="4"/>
        <v/>
      </c>
      <c r="F84" s="2"/>
      <c r="G84" s="2"/>
      <c r="K84" t="str">
        <f t="shared" si="5"/>
        <v>case L'': bmcode = 0x013E; break;</v>
      </c>
    </row>
    <row r="85" spans="2:11" ht="26.5" customHeight="1">
      <c r="B85" s="2">
        <v>63</v>
      </c>
      <c r="C85" s="2">
        <f t="shared" si="2"/>
        <v>3</v>
      </c>
      <c r="D85" s="2">
        <f t="shared" si="3"/>
        <v>15</v>
      </c>
      <c r="E85" s="2" t="str">
        <f t="shared" si="4"/>
        <v/>
      </c>
      <c r="F85" s="2"/>
      <c r="G85" s="2"/>
      <c r="K85" t="str">
        <f t="shared" si="5"/>
        <v>case L'': bmcode = 0x013F; break;</v>
      </c>
    </row>
    <row r="86" spans="2:11" ht="26.5" customHeight="1">
      <c r="B86" s="2">
        <v>64</v>
      </c>
      <c r="C86" s="2">
        <f t="shared" ref="C86:C149" si="6">ROUNDDOWN(B86/16,0)</f>
        <v>4</v>
      </c>
      <c r="D86" s="2">
        <f t="shared" si="3"/>
        <v>0</v>
      </c>
      <c r="E86" s="2" t="str">
        <f t="shared" si="4"/>
        <v/>
      </c>
      <c r="F86" s="2"/>
      <c r="G86" s="2"/>
      <c r="K86" t="str">
        <f t="shared" si="5"/>
        <v>case L'': bmcode = 0x0140; break;</v>
      </c>
    </row>
    <row r="87" spans="2:11" ht="26.5" customHeight="1">
      <c r="B87" s="2">
        <v>65</v>
      </c>
      <c r="C87" s="2">
        <f t="shared" si="6"/>
        <v>4</v>
      </c>
      <c r="D87" s="2">
        <f t="shared" ref="D87:D150" si="7">MOD(B87,16)</f>
        <v>1</v>
      </c>
      <c r="E87" s="2" t="str">
        <f t="shared" ref="E87:E150" si="8">IF(INDEX($C$3:$R$18,C87+1,D87+1)="","",INDEX($C$3:$R$18,C87+1,D87+1))</f>
        <v/>
      </c>
      <c r="F87" s="2"/>
      <c r="G87" s="2"/>
      <c r="K87" t="str">
        <f t="shared" ref="K87:K150" si="9">"case "&amp;"L'"&amp;E87&amp;"'"&amp;": "&amp;"bmcode = 0x"&amp;RIGHT("0000"&amp;DEC2HEX($K$19*256+C87*16+D87),4)&amp;"; break;"</f>
        <v>case L'': bmcode = 0x0141; break;</v>
      </c>
    </row>
    <row r="88" spans="2:11" ht="26.5" customHeight="1">
      <c r="B88" s="2">
        <v>66</v>
      </c>
      <c r="C88" s="2">
        <f t="shared" si="6"/>
        <v>4</v>
      </c>
      <c r="D88" s="2">
        <f t="shared" si="7"/>
        <v>2</v>
      </c>
      <c r="E88" s="2" t="str">
        <f t="shared" si="8"/>
        <v/>
      </c>
      <c r="F88" s="2"/>
      <c r="G88" s="2"/>
      <c r="K88" t="str">
        <f t="shared" si="9"/>
        <v>case L'': bmcode = 0x0142; break;</v>
      </c>
    </row>
    <row r="89" spans="2:11" ht="26.5" customHeight="1">
      <c r="B89" s="2">
        <v>67</v>
      </c>
      <c r="C89" s="2">
        <f t="shared" si="6"/>
        <v>4</v>
      </c>
      <c r="D89" s="2">
        <f t="shared" si="7"/>
        <v>3</v>
      </c>
      <c r="E89" s="2" t="str">
        <f t="shared" si="8"/>
        <v/>
      </c>
      <c r="F89" s="2"/>
      <c r="G89" s="2"/>
      <c r="K89" t="str">
        <f t="shared" si="9"/>
        <v>case L'': bmcode = 0x0143; break;</v>
      </c>
    </row>
    <row r="90" spans="2:11" ht="26.5" customHeight="1">
      <c r="B90" s="2">
        <v>68</v>
      </c>
      <c r="C90" s="2">
        <f t="shared" si="6"/>
        <v>4</v>
      </c>
      <c r="D90" s="2">
        <f t="shared" si="7"/>
        <v>4</v>
      </c>
      <c r="E90" s="2" t="str">
        <f t="shared" si="8"/>
        <v/>
      </c>
      <c r="F90" s="2"/>
      <c r="G90" s="2"/>
      <c r="K90" t="str">
        <f t="shared" si="9"/>
        <v>case L'': bmcode = 0x0144; break;</v>
      </c>
    </row>
    <row r="91" spans="2:11" ht="26.5" customHeight="1">
      <c r="B91" s="2">
        <v>69</v>
      </c>
      <c r="C91" s="2">
        <f t="shared" si="6"/>
        <v>4</v>
      </c>
      <c r="D91" s="2">
        <f t="shared" si="7"/>
        <v>5</v>
      </c>
      <c r="E91" s="2" t="str">
        <f t="shared" si="8"/>
        <v/>
      </c>
      <c r="F91" s="2"/>
      <c r="G91" s="2"/>
      <c r="K91" t="str">
        <f t="shared" si="9"/>
        <v>case L'': bmcode = 0x0145; break;</v>
      </c>
    </row>
    <row r="92" spans="2:11" ht="26.5" customHeight="1">
      <c r="B92" s="2">
        <v>70</v>
      </c>
      <c r="C92" s="2">
        <f t="shared" si="6"/>
        <v>4</v>
      </c>
      <c r="D92" s="2">
        <f t="shared" si="7"/>
        <v>6</v>
      </c>
      <c r="E92" s="2" t="str">
        <f t="shared" si="8"/>
        <v/>
      </c>
      <c r="F92" s="2"/>
      <c r="G92" s="2"/>
      <c r="K92" t="str">
        <f t="shared" si="9"/>
        <v>case L'': bmcode = 0x0146; break;</v>
      </c>
    </row>
    <row r="93" spans="2:11" ht="26.5" customHeight="1">
      <c r="B93" s="2">
        <v>71</v>
      </c>
      <c r="C93" s="2">
        <f t="shared" si="6"/>
        <v>4</v>
      </c>
      <c r="D93" s="2">
        <f t="shared" si="7"/>
        <v>7</v>
      </c>
      <c r="E93" s="2" t="str">
        <f t="shared" si="8"/>
        <v/>
      </c>
      <c r="F93" s="2"/>
      <c r="G93" s="2"/>
      <c r="K93" t="str">
        <f t="shared" si="9"/>
        <v>case L'': bmcode = 0x0147; break;</v>
      </c>
    </row>
    <row r="94" spans="2:11" ht="26.5" customHeight="1">
      <c r="B94" s="2">
        <v>72</v>
      </c>
      <c r="C94" s="2">
        <f t="shared" si="6"/>
        <v>4</v>
      </c>
      <c r="D94" s="2">
        <f t="shared" si="7"/>
        <v>8</v>
      </c>
      <c r="E94" s="2" t="str">
        <f t="shared" si="8"/>
        <v/>
      </c>
      <c r="F94" s="2"/>
      <c r="G94" s="2"/>
      <c r="K94" t="str">
        <f t="shared" si="9"/>
        <v>case L'': bmcode = 0x0148; break;</v>
      </c>
    </row>
    <row r="95" spans="2:11" ht="26.5" customHeight="1">
      <c r="B95" s="2">
        <v>73</v>
      </c>
      <c r="C95" s="2">
        <f t="shared" si="6"/>
        <v>4</v>
      </c>
      <c r="D95" s="2">
        <f t="shared" si="7"/>
        <v>9</v>
      </c>
      <c r="E95" s="2" t="str">
        <f t="shared" si="8"/>
        <v/>
      </c>
      <c r="F95" s="2"/>
      <c r="G95" s="2"/>
      <c r="K95" t="str">
        <f t="shared" si="9"/>
        <v>case L'': bmcode = 0x0149; break;</v>
      </c>
    </row>
    <row r="96" spans="2:11" ht="26.5" customHeight="1">
      <c r="B96" s="2">
        <v>74</v>
      </c>
      <c r="C96" s="2">
        <f t="shared" si="6"/>
        <v>4</v>
      </c>
      <c r="D96" s="2">
        <f t="shared" si="7"/>
        <v>10</v>
      </c>
      <c r="E96" s="2" t="str">
        <f t="shared" si="8"/>
        <v/>
      </c>
      <c r="F96" s="2"/>
      <c r="G96" s="2"/>
      <c r="K96" t="str">
        <f t="shared" si="9"/>
        <v>case L'': bmcode = 0x014A; break;</v>
      </c>
    </row>
    <row r="97" spans="2:11" ht="26.5" customHeight="1">
      <c r="B97" s="2">
        <v>75</v>
      </c>
      <c r="C97" s="2">
        <f t="shared" si="6"/>
        <v>4</v>
      </c>
      <c r="D97" s="2">
        <f t="shared" si="7"/>
        <v>11</v>
      </c>
      <c r="E97" s="2" t="str">
        <f t="shared" si="8"/>
        <v/>
      </c>
      <c r="F97" s="2"/>
      <c r="G97" s="2"/>
      <c r="K97" t="str">
        <f t="shared" si="9"/>
        <v>case L'': bmcode = 0x014B; break;</v>
      </c>
    </row>
    <row r="98" spans="2:11" ht="26.5" customHeight="1">
      <c r="B98" s="2">
        <v>76</v>
      </c>
      <c r="C98" s="2">
        <f t="shared" si="6"/>
        <v>4</v>
      </c>
      <c r="D98" s="2">
        <f t="shared" si="7"/>
        <v>12</v>
      </c>
      <c r="E98" s="2" t="str">
        <f t="shared" si="8"/>
        <v/>
      </c>
      <c r="F98" s="2"/>
      <c r="G98" s="2"/>
      <c r="K98" t="str">
        <f t="shared" si="9"/>
        <v>case L'': bmcode = 0x014C; break;</v>
      </c>
    </row>
    <row r="99" spans="2:11" ht="26.5" customHeight="1">
      <c r="B99" s="2">
        <v>77</v>
      </c>
      <c r="C99" s="2">
        <f t="shared" si="6"/>
        <v>4</v>
      </c>
      <c r="D99" s="2">
        <f t="shared" si="7"/>
        <v>13</v>
      </c>
      <c r="E99" s="2" t="str">
        <f t="shared" si="8"/>
        <v/>
      </c>
      <c r="F99" s="2"/>
      <c r="G99" s="2"/>
      <c r="K99" t="str">
        <f t="shared" si="9"/>
        <v>case L'': bmcode = 0x014D; break;</v>
      </c>
    </row>
    <row r="100" spans="2:11" ht="26.5" customHeight="1">
      <c r="B100" s="2">
        <v>78</v>
      </c>
      <c r="C100" s="2">
        <f t="shared" si="6"/>
        <v>4</v>
      </c>
      <c r="D100" s="2">
        <f t="shared" si="7"/>
        <v>14</v>
      </c>
      <c r="E100" s="2" t="str">
        <f t="shared" si="8"/>
        <v/>
      </c>
      <c r="F100" s="2"/>
      <c r="G100" s="2"/>
      <c r="K100" t="str">
        <f t="shared" si="9"/>
        <v>case L'': bmcode = 0x014E; break;</v>
      </c>
    </row>
    <row r="101" spans="2:11" ht="26.5" customHeight="1">
      <c r="B101" s="2">
        <v>79</v>
      </c>
      <c r="C101" s="2">
        <f t="shared" si="6"/>
        <v>4</v>
      </c>
      <c r="D101" s="2">
        <f t="shared" si="7"/>
        <v>15</v>
      </c>
      <c r="E101" s="2" t="str">
        <f t="shared" si="8"/>
        <v/>
      </c>
      <c r="F101" s="2"/>
      <c r="G101" s="2"/>
      <c r="K101" t="str">
        <f t="shared" si="9"/>
        <v>case L'': bmcode = 0x014F; break;</v>
      </c>
    </row>
    <row r="102" spans="2:11" ht="26.5" customHeight="1">
      <c r="B102" s="2">
        <v>80</v>
      </c>
      <c r="C102" s="2">
        <f t="shared" si="6"/>
        <v>5</v>
      </c>
      <c r="D102" s="2">
        <f t="shared" si="7"/>
        <v>0</v>
      </c>
      <c r="E102" s="2" t="str">
        <f t="shared" si="8"/>
        <v/>
      </c>
      <c r="F102" s="2"/>
      <c r="G102" s="2"/>
      <c r="K102" t="str">
        <f t="shared" si="9"/>
        <v>case L'': bmcode = 0x0150; break;</v>
      </c>
    </row>
    <row r="103" spans="2:11" ht="26.5" customHeight="1">
      <c r="B103" s="2">
        <v>81</v>
      </c>
      <c r="C103" s="2">
        <f t="shared" si="6"/>
        <v>5</v>
      </c>
      <c r="D103" s="2">
        <f t="shared" si="7"/>
        <v>1</v>
      </c>
      <c r="E103" s="2" t="str">
        <f t="shared" si="8"/>
        <v/>
      </c>
      <c r="F103" s="2"/>
      <c r="G103" s="2"/>
      <c r="K103" t="str">
        <f t="shared" si="9"/>
        <v>case L'': bmcode = 0x0151; break;</v>
      </c>
    </row>
    <row r="104" spans="2:11" ht="26.5" customHeight="1">
      <c r="B104" s="2">
        <v>82</v>
      </c>
      <c r="C104" s="2">
        <f t="shared" si="6"/>
        <v>5</v>
      </c>
      <c r="D104" s="2">
        <f t="shared" si="7"/>
        <v>2</v>
      </c>
      <c r="E104" s="2" t="str">
        <f t="shared" si="8"/>
        <v/>
      </c>
      <c r="F104" s="2"/>
      <c r="G104" s="2"/>
      <c r="K104" t="str">
        <f t="shared" si="9"/>
        <v>case L'': bmcode = 0x0152; break;</v>
      </c>
    </row>
    <row r="105" spans="2:11" ht="26.5" customHeight="1">
      <c r="B105" s="2">
        <v>83</v>
      </c>
      <c r="C105" s="2">
        <f t="shared" si="6"/>
        <v>5</v>
      </c>
      <c r="D105" s="2">
        <f t="shared" si="7"/>
        <v>3</v>
      </c>
      <c r="E105" s="2" t="str">
        <f t="shared" si="8"/>
        <v/>
      </c>
      <c r="F105" s="2"/>
      <c r="G105" s="2"/>
      <c r="K105" t="str">
        <f t="shared" si="9"/>
        <v>case L'': bmcode = 0x0153; break;</v>
      </c>
    </row>
    <row r="106" spans="2:11" ht="26.5" customHeight="1">
      <c r="B106" s="2">
        <v>84</v>
      </c>
      <c r="C106" s="2">
        <f t="shared" si="6"/>
        <v>5</v>
      </c>
      <c r="D106" s="2">
        <f t="shared" si="7"/>
        <v>4</v>
      </c>
      <c r="E106" s="2" t="str">
        <f t="shared" si="8"/>
        <v/>
      </c>
      <c r="F106" s="2"/>
      <c r="G106" s="2"/>
      <c r="K106" t="str">
        <f t="shared" si="9"/>
        <v>case L'': bmcode = 0x0154; break;</v>
      </c>
    </row>
    <row r="107" spans="2:11" ht="26.5" customHeight="1">
      <c r="B107" s="2">
        <v>85</v>
      </c>
      <c r="C107" s="2">
        <f t="shared" si="6"/>
        <v>5</v>
      </c>
      <c r="D107" s="2">
        <f t="shared" si="7"/>
        <v>5</v>
      </c>
      <c r="E107" s="2" t="str">
        <f t="shared" si="8"/>
        <v/>
      </c>
      <c r="F107" s="2"/>
      <c r="G107" s="2"/>
      <c r="K107" t="str">
        <f t="shared" si="9"/>
        <v>case L'': bmcode = 0x0155; break;</v>
      </c>
    </row>
    <row r="108" spans="2:11" ht="26.5" customHeight="1">
      <c r="B108" s="2">
        <v>86</v>
      </c>
      <c r="C108" s="2">
        <f t="shared" si="6"/>
        <v>5</v>
      </c>
      <c r="D108" s="2">
        <f t="shared" si="7"/>
        <v>6</v>
      </c>
      <c r="E108" s="2" t="str">
        <f t="shared" si="8"/>
        <v/>
      </c>
      <c r="F108" s="2"/>
      <c r="G108" s="2"/>
      <c r="K108" t="str">
        <f t="shared" si="9"/>
        <v>case L'': bmcode = 0x0156; break;</v>
      </c>
    </row>
    <row r="109" spans="2:11" ht="26.5" customHeight="1">
      <c r="B109" s="2">
        <v>87</v>
      </c>
      <c r="C109" s="2">
        <f t="shared" si="6"/>
        <v>5</v>
      </c>
      <c r="D109" s="2">
        <f t="shared" si="7"/>
        <v>7</v>
      </c>
      <c r="E109" s="2" t="str">
        <f t="shared" si="8"/>
        <v/>
      </c>
      <c r="F109" s="2"/>
      <c r="G109" s="2"/>
      <c r="K109" t="str">
        <f t="shared" si="9"/>
        <v>case L'': bmcode = 0x0157; break;</v>
      </c>
    </row>
    <row r="110" spans="2:11" ht="26.5" customHeight="1">
      <c r="B110" s="2">
        <v>88</v>
      </c>
      <c r="C110" s="2">
        <f t="shared" si="6"/>
        <v>5</v>
      </c>
      <c r="D110" s="2">
        <f t="shared" si="7"/>
        <v>8</v>
      </c>
      <c r="E110" s="2" t="str">
        <f t="shared" si="8"/>
        <v/>
      </c>
      <c r="F110" s="2"/>
      <c r="G110" s="2"/>
      <c r="K110" t="str">
        <f t="shared" si="9"/>
        <v>case L'': bmcode = 0x0158; break;</v>
      </c>
    </row>
    <row r="111" spans="2:11" ht="26.5" customHeight="1">
      <c r="B111" s="2">
        <v>89</v>
      </c>
      <c r="C111" s="2">
        <f t="shared" si="6"/>
        <v>5</v>
      </c>
      <c r="D111" s="2">
        <f t="shared" si="7"/>
        <v>9</v>
      </c>
      <c r="E111" s="2" t="str">
        <f t="shared" si="8"/>
        <v/>
      </c>
      <c r="F111" s="2"/>
      <c r="G111" s="2"/>
      <c r="K111" t="str">
        <f t="shared" si="9"/>
        <v>case L'': bmcode = 0x0159; break;</v>
      </c>
    </row>
    <row r="112" spans="2:11" ht="26.5" customHeight="1">
      <c r="B112" s="2">
        <v>90</v>
      </c>
      <c r="C112" s="2">
        <f t="shared" si="6"/>
        <v>5</v>
      </c>
      <c r="D112" s="2">
        <f t="shared" si="7"/>
        <v>10</v>
      </c>
      <c r="E112" s="2" t="str">
        <f t="shared" si="8"/>
        <v/>
      </c>
      <c r="F112" s="2"/>
      <c r="G112" s="2"/>
      <c r="K112" t="str">
        <f t="shared" si="9"/>
        <v>case L'': bmcode = 0x015A; break;</v>
      </c>
    </row>
    <row r="113" spans="2:11" ht="26.5" customHeight="1">
      <c r="B113" s="2">
        <v>91</v>
      </c>
      <c r="C113" s="2">
        <f t="shared" si="6"/>
        <v>5</v>
      </c>
      <c r="D113" s="2">
        <f t="shared" si="7"/>
        <v>11</v>
      </c>
      <c r="E113" s="2" t="str">
        <f t="shared" si="8"/>
        <v/>
      </c>
      <c r="F113" s="2"/>
      <c r="G113" s="2"/>
      <c r="K113" t="str">
        <f t="shared" si="9"/>
        <v>case L'': bmcode = 0x015B; break;</v>
      </c>
    </row>
    <row r="114" spans="2:11" ht="26.5" customHeight="1">
      <c r="B114" s="2">
        <v>92</v>
      </c>
      <c r="C114" s="2">
        <f t="shared" si="6"/>
        <v>5</v>
      </c>
      <c r="D114" s="2">
        <f t="shared" si="7"/>
        <v>12</v>
      </c>
      <c r="E114" s="2" t="str">
        <f t="shared" si="8"/>
        <v/>
      </c>
      <c r="F114" s="2"/>
      <c r="G114" s="2"/>
      <c r="K114" t="str">
        <f t="shared" si="9"/>
        <v>case L'': bmcode = 0x015C; break;</v>
      </c>
    </row>
    <row r="115" spans="2:11" ht="26.5" customHeight="1">
      <c r="B115" s="2">
        <v>93</v>
      </c>
      <c r="C115" s="2">
        <f t="shared" si="6"/>
        <v>5</v>
      </c>
      <c r="D115" s="2">
        <f t="shared" si="7"/>
        <v>13</v>
      </c>
      <c r="E115" s="2" t="str">
        <f t="shared" si="8"/>
        <v/>
      </c>
      <c r="F115" s="2"/>
      <c r="G115" s="2"/>
      <c r="K115" t="str">
        <f t="shared" si="9"/>
        <v>case L'': bmcode = 0x015D; break;</v>
      </c>
    </row>
    <row r="116" spans="2:11" ht="26.5" customHeight="1">
      <c r="B116" s="2">
        <v>94</v>
      </c>
      <c r="C116" s="2">
        <f t="shared" si="6"/>
        <v>5</v>
      </c>
      <c r="D116" s="2">
        <f t="shared" si="7"/>
        <v>14</v>
      </c>
      <c r="E116" s="2" t="str">
        <f t="shared" si="8"/>
        <v/>
      </c>
      <c r="F116" s="2"/>
      <c r="G116" s="2"/>
      <c r="K116" t="str">
        <f t="shared" si="9"/>
        <v>case L'': bmcode = 0x015E; break;</v>
      </c>
    </row>
    <row r="117" spans="2:11" ht="26.5" customHeight="1">
      <c r="B117" s="2">
        <v>95</v>
      </c>
      <c r="C117" s="2">
        <f t="shared" si="6"/>
        <v>5</v>
      </c>
      <c r="D117" s="2">
        <f t="shared" si="7"/>
        <v>15</v>
      </c>
      <c r="E117" s="2" t="str">
        <f t="shared" si="8"/>
        <v/>
      </c>
      <c r="F117" s="2"/>
      <c r="G117" s="2"/>
      <c r="K117" t="str">
        <f t="shared" si="9"/>
        <v>case L'': bmcode = 0x015F; break;</v>
      </c>
    </row>
    <row r="118" spans="2:11" ht="26.5" customHeight="1">
      <c r="B118" s="2">
        <v>96</v>
      </c>
      <c r="C118" s="2">
        <f t="shared" si="6"/>
        <v>6</v>
      </c>
      <c r="D118" s="2">
        <f t="shared" si="7"/>
        <v>0</v>
      </c>
      <c r="E118" s="2" t="str">
        <f t="shared" si="8"/>
        <v/>
      </c>
      <c r="F118" s="2"/>
      <c r="G118" s="2"/>
      <c r="K118" t="str">
        <f t="shared" si="9"/>
        <v>case L'': bmcode = 0x0160; break;</v>
      </c>
    </row>
    <row r="119" spans="2:11" ht="26.5" customHeight="1">
      <c r="B119" s="2">
        <v>97</v>
      </c>
      <c r="C119" s="2">
        <f t="shared" si="6"/>
        <v>6</v>
      </c>
      <c r="D119" s="2">
        <f t="shared" si="7"/>
        <v>1</v>
      </c>
      <c r="E119" s="2" t="str">
        <f t="shared" si="8"/>
        <v/>
      </c>
      <c r="F119" s="2"/>
      <c r="G119" s="2"/>
      <c r="K119" t="str">
        <f t="shared" si="9"/>
        <v>case L'': bmcode = 0x0161; break;</v>
      </c>
    </row>
    <row r="120" spans="2:11" ht="26.5" customHeight="1">
      <c r="B120" s="2">
        <v>98</v>
      </c>
      <c r="C120" s="2">
        <f t="shared" si="6"/>
        <v>6</v>
      </c>
      <c r="D120" s="2">
        <f t="shared" si="7"/>
        <v>2</v>
      </c>
      <c r="E120" s="2" t="str">
        <f t="shared" si="8"/>
        <v/>
      </c>
      <c r="F120" s="2"/>
      <c r="G120" s="2"/>
      <c r="K120" t="str">
        <f t="shared" si="9"/>
        <v>case L'': bmcode = 0x0162; break;</v>
      </c>
    </row>
    <row r="121" spans="2:11" ht="26.5" customHeight="1">
      <c r="B121" s="2">
        <v>99</v>
      </c>
      <c r="C121" s="2">
        <f t="shared" si="6"/>
        <v>6</v>
      </c>
      <c r="D121" s="2">
        <f t="shared" si="7"/>
        <v>3</v>
      </c>
      <c r="E121" s="2" t="str">
        <f t="shared" si="8"/>
        <v/>
      </c>
      <c r="F121" s="2"/>
      <c r="G121" s="2"/>
      <c r="K121" t="str">
        <f t="shared" si="9"/>
        <v>case L'': bmcode = 0x0163; break;</v>
      </c>
    </row>
    <row r="122" spans="2:11" ht="26.5" customHeight="1">
      <c r="B122" s="2">
        <v>100</v>
      </c>
      <c r="C122" s="2">
        <f t="shared" si="6"/>
        <v>6</v>
      </c>
      <c r="D122" s="2">
        <f t="shared" si="7"/>
        <v>4</v>
      </c>
      <c r="E122" s="2" t="str">
        <f t="shared" si="8"/>
        <v/>
      </c>
      <c r="F122" s="2"/>
      <c r="G122" s="2"/>
      <c r="K122" t="str">
        <f t="shared" si="9"/>
        <v>case L'': bmcode = 0x0164; break;</v>
      </c>
    </row>
    <row r="123" spans="2:11" ht="26.5" customHeight="1">
      <c r="B123" s="2">
        <v>101</v>
      </c>
      <c r="C123" s="2">
        <f t="shared" si="6"/>
        <v>6</v>
      </c>
      <c r="D123" s="2">
        <f t="shared" si="7"/>
        <v>5</v>
      </c>
      <c r="E123" s="2" t="str">
        <f t="shared" si="8"/>
        <v/>
      </c>
      <c r="F123" s="2"/>
      <c r="G123" s="2"/>
      <c r="K123" t="str">
        <f t="shared" si="9"/>
        <v>case L'': bmcode = 0x0165; break;</v>
      </c>
    </row>
    <row r="124" spans="2:11" ht="26.5" customHeight="1">
      <c r="B124" s="2">
        <v>102</v>
      </c>
      <c r="C124" s="2">
        <f t="shared" si="6"/>
        <v>6</v>
      </c>
      <c r="D124" s="2">
        <f t="shared" si="7"/>
        <v>6</v>
      </c>
      <c r="E124" s="2" t="str">
        <f t="shared" si="8"/>
        <v/>
      </c>
      <c r="F124" s="2"/>
      <c r="G124" s="2"/>
      <c r="K124" t="str">
        <f t="shared" si="9"/>
        <v>case L'': bmcode = 0x0166; break;</v>
      </c>
    </row>
    <row r="125" spans="2:11" ht="26.5" customHeight="1">
      <c r="B125" s="2">
        <v>103</v>
      </c>
      <c r="C125" s="2">
        <f t="shared" si="6"/>
        <v>6</v>
      </c>
      <c r="D125" s="2">
        <f t="shared" si="7"/>
        <v>7</v>
      </c>
      <c r="E125" s="2" t="str">
        <f t="shared" si="8"/>
        <v/>
      </c>
      <c r="F125" s="2"/>
      <c r="G125" s="2"/>
      <c r="K125" t="str">
        <f t="shared" si="9"/>
        <v>case L'': bmcode = 0x0167; break;</v>
      </c>
    </row>
    <row r="126" spans="2:11" ht="26.5" customHeight="1">
      <c r="B126" s="2">
        <v>104</v>
      </c>
      <c r="C126" s="2">
        <f t="shared" si="6"/>
        <v>6</v>
      </c>
      <c r="D126" s="2">
        <f t="shared" si="7"/>
        <v>8</v>
      </c>
      <c r="E126" s="2" t="str">
        <f t="shared" si="8"/>
        <v/>
      </c>
      <c r="F126" s="2"/>
      <c r="G126" s="2"/>
      <c r="K126" t="str">
        <f t="shared" si="9"/>
        <v>case L'': bmcode = 0x0168; break;</v>
      </c>
    </row>
    <row r="127" spans="2:11" ht="26.5" customHeight="1">
      <c r="B127" s="2">
        <v>105</v>
      </c>
      <c r="C127" s="2">
        <f t="shared" si="6"/>
        <v>6</v>
      </c>
      <c r="D127" s="2">
        <f t="shared" si="7"/>
        <v>9</v>
      </c>
      <c r="E127" s="2" t="str">
        <f t="shared" si="8"/>
        <v/>
      </c>
      <c r="F127" s="2"/>
      <c r="G127" s="2"/>
      <c r="K127" t="str">
        <f t="shared" si="9"/>
        <v>case L'': bmcode = 0x0169; break;</v>
      </c>
    </row>
    <row r="128" spans="2:11" ht="26.5" customHeight="1">
      <c r="B128" s="2">
        <v>106</v>
      </c>
      <c r="C128" s="2">
        <f t="shared" si="6"/>
        <v>6</v>
      </c>
      <c r="D128" s="2">
        <f t="shared" si="7"/>
        <v>10</v>
      </c>
      <c r="E128" s="2" t="str">
        <f t="shared" si="8"/>
        <v/>
      </c>
      <c r="F128" s="2"/>
      <c r="G128" s="2"/>
      <c r="K128" t="str">
        <f t="shared" si="9"/>
        <v>case L'': bmcode = 0x016A; break;</v>
      </c>
    </row>
    <row r="129" spans="2:11" ht="26.5" customHeight="1">
      <c r="B129" s="2">
        <v>107</v>
      </c>
      <c r="C129" s="2">
        <f t="shared" si="6"/>
        <v>6</v>
      </c>
      <c r="D129" s="2">
        <f t="shared" si="7"/>
        <v>11</v>
      </c>
      <c r="E129" s="2" t="str">
        <f t="shared" si="8"/>
        <v/>
      </c>
      <c r="F129" s="2"/>
      <c r="G129" s="2"/>
      <c r="K129" t="str">
        <f t="shared" si="9"/>
        <v>case L'': bmcode = 0x016B; break;</v>
      </c>
    </row>
    <row r="130" spans="2:11" ht="26.5" customHeight="1">
      <c r="B130" s="2">
        <v>108</v>
      </c>
      <c r="C130" s="2">
        <f t="shared" si="6"/>
        <v>6</v>
      </c>
      <c r="D130" s="2">
        <f t="shared" si="7"/>
        <v>12</v>
      </c>
      <c r="E130" s="2" t="str">
        <f t="shared" si="8"/>
        <v/>
      </c>
      <c r="F130" s="2"/>
      <c r="G130" s="2"/>
      <c r="K130" t="str">
        <f t="shared" si="9"/>
        <v>case L'': bmcode = 0x016C; break;</v>
      </c>
    </row>
    <row r="131" spans="2:11" ht="26.5" customHeight="1">
      <c r="B131" s="2">
        <v>109</v>
      </c>
      <c r="C131" s="2">
        <f t="shared" si="6"/>
        <v>6</v>
      </c>
      <c r="D131" s="2">
        <f t="shared" si="7"/>
        <v>13</v>
      </c>
      <c r="E131" s="2" t="str">
        <f t="shared" si="8"/>
        <v/>
      </c>
      <c r="F131" s="2"/>
      <c r="G131" s="2"/>
      <c r="K131" t="str">
        <f t="shared" si="9"/>
        <v>case L'': bmcode = 0x016D; break;</v>
      </c>
    </row>
    <row r="132" spans="2:11" ht="26.5" customHeight="1">
      <c r="B132" s="2">
        <v>110</v>
      </c>
      <c r="C132" s="2">
        <f t="shared" si="6"/>
        <v>6</v>
      </c>
      <c r="D132" s="2">
        <f t="shared" si="7"/>
        <v>14</v>
      </c>
      <c r="E132" s="2" t="str">
        <f t="shared" si="8"/>
        <v/>
      </c>
      <c r="F132" s="2"/>
      <c r="G132" s="2"/>
      <c r="K132" t="str">
        <f t="shared" si="9"/>
        <v>case L'': bmcode = 0x016E; break;</v>
      </c>
    </row>
    <row r="133" spans="2:11" ht="26.5" customHeight="1">
      <c r="B133" s="2">
        <v>111</v>
      </c>
      <c r="C133" s="2">
        <f t="shared" si="6"/>
        <v>6</v>
      </c>
      <c r="D133" s="2">
        <f t="shared" si="7"/>
        <v>15</v>
      </c>
      <c r="E133" s="2" t="str">
        <f t="shared" si="8"/>
        <v/>
      </c>
      <c r="F133" s="2"/>
      <c r="G133" s="2"/>
      <c r="K133" t="str">
        <f t="shared" si="9"/>
        <v>case L'': bmcode = 0x016F; break;</v>
      </c>
    </row>
    <row r="134" spans="2:11" ht="26.5" customHeight="1">
      <c r="B134" s="2">
        <v>112</v>
      </c>
      <c r="C134" s="2">
        <f t="shared" si="6"/>
        <v>7</v>
      </c>
      <c r="D134" s="2">
        <f t="shared" si="7"/>
        <v>0</v>
      </c>
      <c r="E134" s="2" t="str">
        <f t="shared" si="8"/>
        <v/>
      </c>
      <c r="F134" s="2"/>
      <c r="G134" s="2"/>
      <c r="K134" t="str">
        <f t="shared" si="9"/>
        <v>case L'': bmcode = 0x0170; break;</v>
      </c>
    </row>
    <row r="135" spans="2:11" ht="26.5" customHeight="1">
      <c r="B135" s="2">
        <v>113</v>
      </c>
      <c r="C135" s="2">
        <f t="shared" si="6"/>
        <v>7</v>
      </c>
      <c r="D135" s="2">
        <f t="shared" si="7"/>
        <v>1</v>
      </c>
      <c r="E135" s="2" t="str">
        <f t="shared" si="8"/>
        <v/>
      </c>
      <c r="F135" s="2"/>
      <c r="G135" s="2"/>
      <c r="K135" t="str">
        <f t="shared" si="9"/>
        <v>case L'': bmcode = 0x0171; break;</v>
      </c>
    </row>
    <row r="136" spans="2:11" ht="26.5" customHeight="1">
      <c r="B136" s="2">
        <v>114</v>
      </c>
      <c r="C136" s="2">
        <f t="shared" si="6"/>
        <v>7</v>
      </c>
      <c r="D136" s="2">
        <f t="shared" si="7"/>
        <v>2</v>
      </c>
      <c r="E136" s="2" t="str">
        <f t="shared" si="8"/>
        <v/>
      </c>
      <c r="F136" s="2"/>
      <c r="G136" s="2"/>
      <c r="K136" t="str">
        <f t="shared" si="9"/>
        <v>case L'': bmcode = 0x0172; break;</v>
      </c>
    </row>
    <row r="137" spans="2:11" ht="26.5" customHeight="1">
      <c r="B137" s="2">
        <v>115</v>
      </c>
      <c r="C137" s="2">
        <f t="shared" si="6"/>
        <v>7</v>
      </c>
      <c r="D137" s="2">
        <f t="shared" si="7"/>
        <v>3</v>
      </c>
      <c r="E137" s="2" t="str">
        <f t="shared" si="8"/>
        <v/>
      </c>
      <c r="F137" s="2"/>
      <c r="G137" s="2"/>
      <c r="K137" t="str">
        <f t="shared" si="9"/>
        <v>case L'': bmcode = 0x0173; break;</v>
      </c>
    </row>
    <row r="138" spans="2:11" ht="26.5" customHeight="1">
      <c r="B138" s="2">
        <v>116</v>
      </c>
      <c r="C138" s="2">
        <f t="shared" si="6"/>
        <v>7</v>
      </c>
      <c r="D138" s="2">
        <f t="shared" si="7"/>
        <v>4</v>
      </c>
      <c r="E138" s="2" t="str">
        <f t="shared" si="8"/>
        <v/>
      </c>
      <c r="F138" s="2"/>
      <c r="G138" s="2"/>
      <c r="K138" t="str">
        <f t="shared" si="9"/>
        <v>case L'': bmcode = 0x0174; break;</v>
      </c>
    </row>
    <row r="139" spans="2:11" ht="26.5" customHeight="1">
      <c r="B139" s="2">
        <v>117</v>
      </c>
      <c r="C139" s="2">
        <f t="shared" si="6"/>
        <v>7</v>
      </c>
      <c r="D139" s="2">
        <f t="shared" si="7"/>
        <v>5</v>
      </c>
      <c r="E139" s="2" t="str">
        <f t="shared" si="8"/>
        <v/>
      </c>
      <c r="F139" s="2"/>
      <c r="G139" s="2"/>
      <c r="K139" t="str">
        <f t="shared" si="9"/>
        <v>case L'': bmcode = 0x0175; break;</v>
      </c>
    </row>
    <row r="140" spans="2:11" ht="26.5" customHeight="1">
      <c r="B140" s="2">
        <v>118</v>
      </c>
      <c r="C140" s="2">
        <f t="shared" si="6"/>
        <v>7</v>
      </c>
      <c r="D140" s="2">
        <f t="shared" si="7"/>
        <v>6</v>
      </c>
      <c r="E140" s="2" t="str">
        <f t="shared" si="8"/>
        <v/>
      </c>
      <c r="F140" s="2"/>
      <c r="G140" s="2"/>
      <c r="K140" t="str">
        <f t="shared" si="9"/>
        <v>case L'': bmcode = 0x0176; break;</v>
      </c>
    </row>
    <row r="141" spans="2:11" ht="26.5" customHeight="1">
      <c r="B141" s="2">
        <v>119</v>
      </c>
      <c r="C141" s="2">
        <f t="shared" si="6"/>
        <v>7</v>
      </c>
      <c r="D141" s="2">
        <f t="shared" si="7"/>
        <v>7</v>
      </c>
      <c r="E141" s="2" t="str">
        <f t="shared" si="8"/>
        <v/>
      </c>
      <c r="F141" s="2"/>
      <c r="G141" s="2"/>
      <c r="K141" t="str">
        <f t="shared" si="9"/>
        <v>case L'': bmcode = 0x0177; break;</v>
      </c>
    </row>
    <row r="142" spans="2:11" ht="26.5" customHeight="1">
      <c r="B142" s="2">
        <v>120</v>
      </c>
      <c r="C142" s="2">
        <f t="shared" si="6"/>
        <v>7</v>
      </c>
      <c r="D142" s="2">
        <f t="shared" si="7"/>
        <v>8</v>
      </c>
      <c r="E142" s="2" t="str">
        <f t="shared" si="8"/>
        <v/>
      </c>
      <c r="F142" s="2"/>
      <c r="G142" s="2"/>
      <c r="K142" t="str">
        <f t="shared" si="9"/>
        <v>case L'': bmcode = 0x0178; break;</v>
      </c>
    </row>
    <row r="143" spans="2:11" ht="26.5" customHeight="1">
      <c r="B143" s="2">
        <v>121</v>
      </c>
      <c r="C143" s="2">
        <f t="shared" si="6"/>
        <v>7</v>
      </c>
      <c r="D143" s="2">
        <f t="shared" si="7"/>
        <v>9</v>
      </c>
      <c r="E143" s="2" t="str">
        <f t="shared" si="8"/>
        <v/>
      </c>
      <c r="F143" s="2"/>
      <c r="G143" s="2"/>
      <c r="K143" t="str">
        <f t="shared" si="9"/>
        <v>case L'': bmcode = 0x0179; break;</v>
      </c>
    </row>
    <row r="144" spans="2:11" ht="26.5" customHeight="1">
      <c r="B144" s="2">
        <v>122</v>
      </c>
      <c r="C144" s="2">
        <f t="shared" si="6"/>
        <v>7</v>
      </c>
      <c r="D144" s="2">
        <f t="shared" si="7"/>
        <v>10</v>
      </c>
      <c r="E144" s="2" t="str">
        <f t="shared" si="8"/>
        <v/>
      </c>
      <c r="F144" s="2"/>
      <c r="G144" s="2"/>
      <c r="K144" t="str">
        <f t="shared" si="9"/>
        <v>case L'': bmcode = 0x017A; break;</v>
      </c>
    </row>
    <row r="145" spans="2:11" ht="26.5" customHeight="1">
      <c r="B145" s="2">
        <v>123</v>
      </c>
      <c r="C145" s="2">
        <f t="shared" si="6"/>
        <v>7</v>
      </c>
      <c r="D145" s="2">
        <f t="shared" si="7"/>
        <v>11</v>
      </c>
      <c r="E145" s="2" t="str">
        <f t="shared" si="8"/>
        <v/>
      </c>
      <c r="F145" s="2"/>
      <c r="G145" s="2"/>
      <c r="K145" t="str">
        <f t="shared" si="9"/>
        <v>case L'': bmcode = 0x017B; break;</v>
      </c>
    </row>
    <row r="146" spans="2:11" ht="26.5" customHeight="1">
      <c r="B146" s="2">
        <v>124</v>
      </c>
      <c r="C146" s="2">
        <f t="shared" si="6"/>
        <v>7</v>
      </c>
      <c r="D146" s="2">
        <f t="shared" si="7"/>
        <v>12</v>
      </c>
      <c r="E146" s="2" t="str">
        <f t="shared" si="8"/>
        <v/>
      </c>
      <c r="F146" s="2"/>
      <c r="G146" s="2"/>
      <c r="K146" t="str">
        <f t="shared" si="9"/>
        <v>case L'': bmcode = 0x017C; break;</v>
      </c>
    </row>
    <row r="147" spans="2:11" ht="26.5" customHeight="1">
      <c r="B147" s="2">
        <v>125</v>
      </c>
      <c r="C147" s="2">
        <f t="shared" si="6"/>
        <v>7</v>
      </c>
      <c r="D147" s="2">
        <f t="shared" si="7"/>
        <v>13</v>
      </c>
      <c r="E147" s="2" t="str">
        <f t="shared" si="8"/>
        <v/>
      </c>
      <c r="F147" s="2"/>
      <c r="G147" s="2"/>
      <c r="K147" t="str">
        <f t="shared" si="9"/>
        <v>case L'': bmcode = 0x017D; break;</v>
      </c>
    </row>
    <row r="148" spans="2:11" ht="26.5" customHeight="1">
      <c r="B148" s="2">
        <v>126</v>
      </c>
      <c r="C148" s="2">
        <f t="shared" si="6"/>
        <v>7</v>
      </c>
      <c r="D148" s="2">
        <f t="shared" si="7"/>
        <v>14</v>
      </c>
      <c r="E148" s="2" t="str">
        <f t="shared" si="8"/>
        <v/>
      </c>
      <c r="F148" s="2"/>
      <c r="G148" s="2"/>
      <c r="K148" t="str">
        <f t="shared" si="9"/>
        <v>case L'': bmcode = 0x017E; break;</v>
      </c>
    </row>
    <row r="149" spans="2:11" ht="26.5" customHeight="1">
      <c r="B149" s="2">
        <v>127</v>
      </c>
      <c r="C149" s="2">
        <f t="shared" si="6"/>
        <v>7</v>
      </c>
      <c r="D149" s="2">
        <f t="shared" si="7"/>
        <v>15</v>
      </c>
      <c r="E149" s="2" t="str">
        <f t="shared" si="8"/>
        <v/>
      </c>
      <c r="F149" s="2"/>
      <c r="G149" s="2"/>
      <c r="K149" t="str">
        <f t="shared" si="9"/>
        <v>case L'': bmcode = 0x017F; break;</v>
      </c>
    </row>
    <row r="150" spans="2:11" ht="26.5" customHeight="1">
      <c r="B150" s="2">
        <v>128</v>
      </c>
      <c r="C150" s="2">
        <f t="shared" ref="C150:C213" si="10">ROUNDDOWN(B150/16,0)</f>
        <v>8</v>
      </c>
      <c r="D150" s="2">
        <f t="shared" si="7"/>
        <v>0</v>
      </c>
      <c r="E150" s="2" t="str">
        <f t="shared" si="8"/>
        <v/>
      </c>
      <c r="F150" s="2"/>
      <c r="G150" s="2"/>
      <c r="K150" t="str">
        <f t="shared" si="9"/>
        <v>case L'': bmcode = 0x0180; break;</v>
      </c>
    </row>
    <row r="151" spans="2:11" ht="26.5" customHeight="1">
      <c r="B151" s="2">
        <v>129</v>
      </c>
      <c r="C151" s="2">
        <f t="shared" si="10"/>
        <v>8</v>
      </c>
      <c r="D151" s="2">
        <f t="shared" ref="D151:D214" si="11">MOD(B151,16)</f>
        <v>1</v>
      </c>
      <c r="E151" s="2" t="str">
        <f t="shared" ref="E151:E214" si="12">IF(INDEX($C$3:$R$18,C151+1,D151+1)="","",INDEX($C$3:$R$18,C151+1,D151+1))</f>
        <v/>
      </c>
      <c r="F151" s="2"/>
      <c r="G151" s="2"/>
      <c r="K151" t="str">
        <f t="shared" ref="K151:K214" si="13">"case "&amp;"L'"&amp;E151&amp;"'"&amp;": "&amp;"bmcode = 0x"&amp;RIGHT("0000"&amp;DEC2HEX($K$19*256+C151*16+D151),4)&amp;"; break;"</f>
        <v>case L'': bmcode = 0x0181; break;</v>
      </c>
    </row>
    <row r="152" spans="2:11" ht="26.5" customHeight="1">
      <c r="B152" s="2">
        <v>130</v>
      </c>
      <c r="C152" s="2">
        <f t="shared" si="10"/>
        <v>8</v>
      </c>
      <c r="D152" s="2">
        <f t="shared" si="11"/>
        <v>2</v>
      </c>
      <c r="E152" s="2" t="str">
        <f t="shared" si="12"/>
        <v/>
      </c>
      <c r="F152" s="2"/>
      <c r="G152" s="2"/>
      <c r="K152" t="str">
        <f t="shared" si="13"/>
        <v>case L'': bmcode = 0x0182; break;</v>
      </c>
    </row>
    <row r="153" spans="2:11" ht="26.5" customHeight="1">
      <c r="B153" s="2">
        <v>131</v>
      </c>
      <c r="C153" s="2">
        <f t="shared" si="10"/>
        <v>8</v>
      </c>
      <c r="D153" s="2">
        <f t="shared" si="11"/>
        <v>3</v>
      </c>
      <c r="E153" s="2" t="str">
        <f t="shared" si="12"/>
        <v/>
      </c>
      <c r="F153" s="2"/>
      <c r="G153" s="2"/>
      <c r="K153" t="str">
        <f t="shared" si="13"/>
        <v>case L'': bmcode = 0x0183; break;</v>
      </c>
    </row>
    <row r="154" spans="2:11" ht="26.5" customHeight="1">
      <c r="B154" s="2">
        <v>132</v>
      </c>
      <c r="C154" s="2">
        <f t="shared" si="10"/>
        <v>8</v>
      </c>
      <c r="D154" s="2">
        <f t="shared" si="11"/>
        <v>4</v>
      </c>
      <c r="E154" s="2" t="str">
        <f t="shared" si="12"/>
        <v/>
      </c>
      <c r="F154" s="2"/>
      <c r="G154" s="2"/>
      <c r="K154" t="str">
        <f t="shared" si="13"/>
        <v>case L'': bmcode = 0x0184; break;</v>
      </c>
    </row>
    <row r="155" spans="2:11" ht="26.5" customHeight="1">
      <c r="B155" s="2">
        <v>133</v>
      </c>
      <c r="C155" s="2">
        <f t="shared" si="10"/>
        <v>8</v>
      </c>
      <c r="D155" s="2">
        <f t="shared" si="11"/>
        <v>5</v>
      </c>
      <c r="E155" s="2" t="str">
        <f t="shared" si="12"/>
        <v/>
      </c>
      <c r="F155" s="2"/>
      <c r="G155" s="2"/>
      <c r="K155" t="str">
        <f t="shared" si="13"/>
        <v>case L'': bmcode = 0x0185; break;</v>
      </c>
    </row>
    <row r="156" spans="2:11" ht="26.5" customHeight="1">
      <c r="B156" s="2">
        <v>134</v>
      </c>
      <c r="C156" s="2">
        <f t="shared" si="10"/>
        <v>8</v>
      </c>
      <c r="D156" s="2">
        <f t="shared" si="11"/>
        <v>6</v>
      </c>
      <c r="E156" s="2" t="str">
        <f t="shared" si="12"/>
        <v/>
      </c>
      <c r="F156" s="2"/>
      <c r="G156" s="2"/>
      <c r="K156" t="str">
        <f t="shared" si="13"/>
        <v>case L'': bmcode = 0x0186; break;</v>
      </c>
    </row>
    <row r="157" spans="2:11" ht="26.5" customHeight="1">
      <c r="B157" s="2">
        <v>135</v>
      </c>
      <c r="C157" s="2">
        <f t="shared" si="10"/>
        <v>8</v>
      </c>
      <c r="D157" s="2">
        <f t="shared" si="11"/>
        <v>7</v>
      </c>
      <c r="E157" s="2" t="str">
        <f t="shared" si="12"/>
        <v/>
      </c>
      <c r="F157" s="2"/>
      <c r="G157" s="2"/>
      <c r="K157" t="str">
        <f t="shared" si="13"/>
        <v>case L'': bmcode = 0x0187; break;</v>
      </c>
    </row>
    <row r="158" spans="2:11" ht="26.5" customHeight="1">
      <c r="B158" s="2">
        <v>136</v>
      </c>
      <c r="C158" s="2">
        <f t="shared" si="10"/>
        <v>8</v>
      </c>
      <c r="D158" s="2">
        <f t="shared" si="11"/>
        <v>8</v>
      </c>
      <c r="E158" s="2" t="str">
        <f t="shared" si="12"/>
        <v/>
      </c>
      <c r="F158" s="2"/>
      <c r="G158" s="2"/>
      <c r="K158" t="str">
        <f t="shared" si="13"/>
        <v>case L'': bmcode = 0x0188; break;</v>
      </c>
    </row>
    <row r="159" spans="2:11" ht="26.5" customHeight="1">
      <c r="B159" s="2">
        <v>137</v>
      </c>
      <c r="C159" s="2">
        <f t="shared" si="10"/>
        <v>8</v>
      </c>
      <c r="D159" s="2">
        <f t="shared" si="11"/>
        <v>9</v>
      </c>
      <c r="E159" s="2" t="str">
        <f t="shared" si="12"/>
        <v/>
      </c>
      <c r="F159" s="2"/>
      <c r="G159" s="2"/>
      <c r="K159" t="str">
        <f t="shared" si="13"/>
        <v>case L'': bmcode = 0x0189; break;</v>
      </c>
    </row>
    <row r="160" spans="2:11" ht="26.5" customHeight="1">
      <c r="B160" s="2">
        <v>138</v>
      </c>
      <c r="C160" s="2">
        <f t="shared" si="10"/>
        <v>8</v>
      </c>
      <c r="D160" s="2">
        <f t="shared" si="11"/>
        <v>10</v>
      </c>
      <c r="E160" s="2" t="str">
        <f t="shared" si="12"/>
        <v/>
      </c>
      <c r="F160" s="2"/>
      <c r="G160" s="2"/>
      <c r="K160" t="str">
        <f t="shared" si="13"/>
        <v>case L'': bmcode = 0x018A; break;</v>
      </c>
    </row>
    <row r="161" spans="2:11" ht="26.5" customHeight="1">
      <c r="B161" s="2">
        <v>139</v>
      </c>
      <c r="C161" s="2">
        <f t="shared" si="10"/>
        <v>8</v>
      </c>
      <c r="D161" s="2">
        <f t="shared" si="11"/>
        <v>11</v>
      </c>
      <c r="E161" s="2" t="str">
        <f t="shared" si="12"/>
        <v/>
      </c>
      <c r="F161" s="2"/>
      <c r="G161" s="2"/>
      <c r="K161" t="str">
        <f t="shared" si="13"/>
        <v>case L'': bmcode = 0x018B; break;</v>
      </c>
    </row>
    <row r="162" spans="2:11" ht="26.5" customHeight="1">
      <c r="B162" s="2">
        <v>140</v>
      </c>
      <c r="C162" s="2">
        <f t="shared" si="10"/>
        <v>8</v>
      </c>
      <c r="D162" s="2">
        <f t="shared" si="11"/>
        <v>12</v>
      </c>
      <c r="E162" s="2" t="str">
        <f t="shared" si="12"/>
        <v/>
      </c>
      <c r="F162" s="2"/>
      <c r="G162" s="2"/>
      <c r="K162" t="str">
        <f t="shared" si="13"/>
        <v>case L'': bmcode = 0x018C; break;</v>
      </c>
    </row>
    <row r="163" spans="2:11" ht="26.5" customHeight="1">
      <c r="B163" s="2">
        <v>141</v>
      </c>
      <c r="C163" s="2">
        <f t="shared" si="10"/>
        <v>8</v>
      </c>
      <c r="D163" s="2">
        <f t="shared" si="11"/>
        <v>13</v>
      </c>
      <c r="E163" s="2" t="str">
        <f t="shared" si="12"/>
        <v/>
      </c>
      <c r="F163" s="2"/>
      <c r="G163" s="2"/>
      <c r="K163" t="str">
        <f t="shared" si="13"/>
        <v>case L'': bmcode = 0x018D; break;</v>
      </c>
    </row>
    <row r="164" spans="2:11" ht="26.5" customHeight="1">
      <c r="B164" s="2">
        <v>142</v>
      </c>
      <c r="C164" s="2">
        <f t="shared" si="10"/>
        <v>8</v>
      </c>
      <c r="D164" s="2">
        <f t="shared" si="11"/>
        <v>14</v>
      </c>
      <c r="E164" s="2" t="str">
        <f t="shared" si="12"/>
        <v/>
      </c>
      <c r="F164" s="2"/>
      <c r="G164" s="2"/>
      <c r="K164" t="str">
        <f t="shared" si="13"/>
        <v>case L'': bmcode = 0x018E; break;</v>
      </c>
    </row>
    <row r="165" spans="2:11" ht="26.5" customHeight="1">
      <c r="B165" s="2">
        <v>143</v>
      </c>
      <c r="C165" s="2">
        <f t="shared" si="10"/>
        <v>8</v>
      </c>
      <c r="D165" s="2">
        <f t="shared" si="11"/>
        <v>15</v>
      </c>
      <c r="E165" s="2" t="str">
        <f t="shared" si="12"/>
        <v/>
      </c>
      <c r="F165" s="2"/>
      <c r="G165" s="2"/>
      <c r="K165" t="str">
        <f t="shared" si="13"/>
        <v>case L'': bmcode = 0x018F; break;</v>
      </c>
    </row>
    <row r="166" spans="2:11" ht="26.5" customHeight="1">
      <c r="B166" s="2">
        <v>144</v>
      </c>
      <c r="C166" s="2">
        <f t="shared" si="10"/>
        <v>9</v>
      </c>
      <c r="D166" s="2">
        <f t="shared" si="11"/>
        <v>0</v>
      </c>
      <c r="E166" s="2" t="str">
        <f t="shared" si="12"/>
        <v/>
      </c>
      <c r="F166" s="2"/>
      <c r="G166" s="2"/>
      <c r="K166" t="str">
        <f t="shared" si="13"/>
        <v>case L'': bmcode = 0x0190; break;</v>
      </c>
    </row>
    <row r="167" spans="2:11" ht="26.5" customHeight="1">
      <c r="B167" s="2">
        <v>145</v>
      </c>
      <c r="C167" s="2">
        <f t="shared" si="10"/>
        <v>9</v>
      </c>
      <c r="D167" s="2">
        <f t="shared" si="11"/>
        <v>1</v>
      </c>
      <c r="E167" s="2" t="str">
        <f t="shared" si="12"/>
        <v/>
      </c>
      <c r="F167" s="2"/>
      <c r="G167" s="2"/>
      <c r="K167" t="str">
        <f t="shared" si="13"/>
        <v>case L'': bmcode = 0x0191; break;</v>
      </c>
    </row>
    <row r="168" spans="2:11" ht="26.5" customHeight="1">
      <c r="B168" s="2">
        <v>146</v>
      </c>
      <c r="C168" s="2">
        <f t="shared" si="10"/>
        <v>9</v>
      </c>
      <c r="D168" s="2">
        <f t="shared" si="11"/>
        <v>2</v>
      </c>
      <c r="E168" s="2" t="str">
        <f t="shared" si="12"/>
        <v/>
      </c>
      <c r="F168" s="2"/>
      <c r="G168" s="2"/>
      <c r="K168" t="str">
        <f t="shared" si="13"/>
        <v>case L'': bmcode = 0x0192; break;</v>
      </c>
    </row>
    <row r="169" spans="2:11" ht="26.5" customHeight="1">
      <c r="B169" s="2">
        <v>147</v>
      </c>
      <c r="C169" s="2">
        <f t="shared" si="10"/>
        <v>9</v>
      </c>
      <c r="D169" s="2">
        <f t="shared" si="11"/>
        <v>3</v>
      </c>
      <c r="E169" s="2" t="str">
        <f t="shared" si="12"/>
        <v/>
      </c>
      <c r="F169" s="2"/>
      <c r="G169" s="2"/>
      <c r="K169" t="str">
        <f t="shared" si="13"/>
        <v>case L'': bmcode = 0x0193; break;</v>
      </c>
    </row>
    <row r="170" spans="2:11" ht="26.5" customHeight="1">
      <c r="B170" s="2">
        <v>148</v>
      </c>
      <c r="C170" s="2">
        <f t="shared" si="10"/>
        <v>9</v>
      </c>
      <c r="D170" s="2">
        <f t="shared" si="11"/>
        <v>4</v>
      </c>
      <c r="E170" s="2" t="str">
        <f t="shared" si="12"/>
        <v/>
      </c>
      <c r="F170" s="2"/>
      <c r="G170" s="2"/>
      <c r="K170" t="str">
        <f t="shared" si="13"/>
        <v>case L'': bmcode = 0x0194; break;</v>
      </c>
    </row>
    <row r="171" spans="2:11" ht="26.5" customHeight="1">
      <c r="B171" s="2">
        <v>149</v>
      </c>
      <c r="C171" s="2">
        <f t="shared" si="10"/>
        <v>9</v>
      </c>
      <c r="D171" s="2">
        <f t="shared" si="11"/>
        <v>5</v>
      </c>
      <c r="E171" s="2" t="str">
        <f t="shared" si="12"/>
        <v/>
      </c>
      <c r="F171" s="2"/>
      <c r="G171" s="2"/>
      <c r="K171" t="str">
        <f t="shared" si="13"/>
        <v>case L'': bmcode = 0x0195; break;</v>
      </c>
    </row>
    <row r="172" spans="2:11" ht="26.5" customHeight="1">
      <c r="B172" s="2">
        <v>150</v>
      </c>
      <c r="C172" s="2">
        <f t="shared" si="10"/>
        <v>9</v>
      </c>
      <c r="D172" s="2">
        <f t="shared" si="11"/>
        <v>6</v>
      </c>
      <c r="E172" s="2" t="str">
        <f t="shared" si="12"/>
        <v/>
      </c>
      <c r="F172" s="2"/>
      <c r="G172" s="2"/>
      <c r="K172" t="str">
        <f t="shared" si="13"/>
        <v>case L'': bmcode = 0x0196; break;</v>
      </c>
    </row>
    <row r="173" spans="2:11" ht="26.5" customHeight="1">
      <c r="B173" s="2">
        <v>151</v>
      </c>
      <c r="C173" s="2">
        <f t="shared" si="10"/>
        <v>9</v>
      </c>
      <c r="D173" s="2">
        <f t="shared" si="11"/>
        <v>7</v>
      </c>
      <c r="E173" s="2" t="str">
        <f t="shared" si="12"/>
        <v/>
      </c>
      <c r="F173" s="2"/>
      <c r="G173" s="2"/>
      <c r="K173" t="str">
        <f t="shared" si="13"/>
        <v>case L'': bmcode = 0x0197; break;</v>
      </c>
    </row>
    <row r="174" spans="2:11" ht="26.5" customHeight="1">
      <c r="B174" s="2">
        <v>152</v>
      </c>
      <c r="C174" s="2">
        <f t="shared" si="10"/>
        <v>9</v>
      </c>
      <c r="D174" s="2">
        <f t="shared" si="11"/>
        <v>8</v>
      </c>
      <c r="E174" s="2" t="str">
        <f t="shared" si="12"/>
        <v/>
      </c>
      <c r="F174" s="2"/>
      <c r="G174" s="2"/>
      <c r="K174" t="str">
        <f t="shared" si="13"/>
        <v>case L'': bmcode = 0x0198; break;</v>
      </c>
    </row>
    <row r="175" spans="2:11" ht="26.5" customHeight="1">
      <c r="B175" s="2">
        <v>153</v>
      </c>
      <c r="C175" s="2">
        <f t="shared" si="10"/>
        <v>9</v>
      </c>
      <c r="D175" s="2">
        <f t="shared" si="11"/>
        <v>9</v>
      </c>
      <c r="E175" s="2" t="str">
        <f t="shared" si="12"/>
        <v/>
      </c>
      <c r="F175" s="2"/>
      <c r="G175" s="2"/>
      <c r="K175" t="str">
        <f t="shared" si="13"/>
        <v>case L'': bmcode = 0x0199; break;</v>
      </c>
    </row>
    <row r="176" spans="2:11" ht="26.5" customHeight="1">
      <c r="B176" s="2">
        <v>154</v>
      </c>
      <c r="C176" s="2">
        <f t="shared" si="10"/>
        <v>9</v>
      </c>
      <c r="D176" s="2">
        <f t="shared" si="11"/>
        <v>10</v>
      </c>
      <c r="E176" s="2" t="str">
        <f t="shared" si="12"/>
        <v/>
      </c>
      <c r="F176" s="2"/>
      <c r="G176" s="2"/>
      <c r="K176" t="str">
        <f t="shared" si="13"/>
        <v>case L'': bmcode = 0x019A; break;</v>
      </c>
    </row>
    <row r="177" spans="2:11" ht="26.5" customHeight="1">
      <c r="B177" s="2">
        <v>155</v>
      </c>
      <c r="C177" s="2">
        <f t="shared" si="10"/>
        <v>9</v>
      </c>
      <c r="D177" s="2">
        <f t="shared" si="11"/>
        <v>11</v>
      </c>
      <c r="E177" s="2" t="str">
        <f t="shared" si="12"/>
        <v/>
      </c>
      <c r="F177" s="2"/>
      <c r="G177" s="2"/>
      <c r="K177" t="str">
        <f t="shared" si="13"/>
        <v>case L'': bmcode = 0x019B; break;</v>
      </c>
    </row>
    <row r="178" spans="2:11" ht="26.5" customHeight="1">
      <c r="B178" s="2">
        <v>156</v>
      </c>
      <c r="C178" s="2">
        <f t="shared" si="10"/>
        <v>9</v>
      </c>
      <c r="D178" s="2">
        <f t="shared" si="11"/>
        <v>12</v>
      </c>
      <c r="E178" s="2" t="str">
        <f t="shared" si="12"/>
        <v/>
      </c>
      <c r="F178" s="2"/>
      <c r="G178" s="2"/>
      <c r="K178" t="str">
        <f t="shared" si="13"/>
        <v>case L'': bmcode = 0x019C; break;</v>
      </c>
    </row>
    <row r="179" spans="2:11" ht="26.5" customHeight="1">
      <c r="B179" s="2">
        <v>157</v>
      </c>
      <c r="C179" s="2">
        <f t="shared" si="10"/>
        <v>9</v>
      </c>
      <c r="D179" s="2">
        <f t="shared" si="11"/>
        <v>13</v>
      </c>
      <c r="E179" s="2" t="str">
        <f t="shared" si="12"/>
        <v/>
      </c>
      <c r="F179" s="2"/>
      <c r="G179" s="2"/>
      <c r="K179" t="str">
        <f t="shared" si="13"/>
        <v>case L'': bmcode = 0x019D; break;</v>
      </c>
    </row>
    <row r="180" spans="2:11" ht="26.5" customHeight="1">
      <c r="B180" s="2">
        <v>158</v>
      </c>
      <c r="C180" s="2">
        <f t="shared" si="10"/>
        <v>9</v>
      </c>
      <c r="D180" s="2">
        <f t="shared" si="11"/>
        <v>14</v>
      </c>
      <c r="E180" s="2" t="str">
        <f t="shared" si="12"/>
        <v/>
      </c>
      <c r="F180" s="2"/>
      <c r="G180" s="2"/>
      <c r="K180" t="str">
        <f t="shared" si="13"/>
        <v>case L'': bmcode = 0x019E; break;</v>
      </c>
    </row>
    <row r="181" spans="2:11" ht="26.5" customHeight="1">
      <c r="B181" s="2">
        <v>159</v>
      </c>
      <c r="C181" s="2">
        <f t="shared" si="10"/>
        <v>9</v>
      </c>
      <c r="D181" s="2">
        <f t="shared" si="11"/>
        <v>15</v>
      </c>
      <c r="E181" s="2" t="str">
        <f t="shared" si="12"/>
        <v/>
      </c>
      <c r="F181" s="2"/>
      <c r="G181" s="2"/>
      <c r="K181" t="str">
        <f t="shared" si="13"/>
        <v>case L'': bmcode = 0x019F; break;</v>
      </c>
    </row>
    <row r="182" spans="2:11" ht="26.5" customHeight="1">
      <c r="B182" s="2">
        <v>160</v>
      </c>
      <c r="C182" s="2">
        <f t="shared" si="10"/>
        <v>10</v>
      </c>
      <c r="D182" s="2">
        <f t="shared" si="11"/>
        <v>0</v>
      </c>
      <c r="E182" s="2" t="str">
        <f t="shared" si="12"/>
        <v/>
      </c>
      <c r="F182" s="2"/>
      <c r="G182" s="2"/>
      <c r="K182" t="str">
        <f t="shared" si="13"/>
        <v>case L'': bmcode = 0x01A0; break;</v>
      </c>
    </row>
    <row r="183" spans="2:11" ht="26.5" customHeight="1">
      <c r="B183" s="2">
        <v>161</v>
      </c>
      <c r="C183" s="2">
        <f t="shared" si="10"/>
        <v>10</v>
      </c>
      <c r="D183" s="2">
        <f t="shared" si="11"/>
        <v>1</v>
      </c>
      <c r="E183" s="2" t="str">
        <f t="shared" si="12"/>
        <v/>
      </c>
      <c r="F183" s="2"/>
      <c r="G183" s="2"/>
      <c r="K183" t="str">
        <f t="shared" si="13"/>
        <v>case L'': bmcode = 0x01A1; break;</v>
      </c>
    </row>
    <row r="184" spans="2:11" ht="26.5" customHeight="1">
      <c r="B184" s="2">
        <v>162</v>
      </c>
      <c r="C184" s="2">
        <f t="shared" si="10"/>
        <v>10</v>
      </c>
      <c r="D184" s="2">
        <f t="shared" si="11"/>
        <v>2</v>
      </c>
      <c r="E184" s="2" t="str">
        <f t="shared" si="12"/>
        <v/>
      </c>
      <c r="F184" s="2"/>
      <c r="G184" s="2"/>
      <c r="K184" t="str">
        <f t="shared" si="13"/>
        <v>case L'': bmcode = 0x01A2; break;</v>
      </c>
    </row>
    <row r="185" spans="2:11" ht="26.5" customHeight="1">
      <c r="B185" s="2">
        <v>163</v>
      </c>
      <c r="C185" s="2">
        <f t="shared" si="10"/>
        <v>10</v>
      </c>
      <c r="D185" s="2">
        <f t="shared" si="11"/>
        <v>3</v>
      </c>
      <c r="E185" s="2" t="str">
        <f t="shared" si="12"/>
        <v/>
      </c>
      <c r="F185" s="2"/>
      <c r="G185" s="2"/>
      <c r="K185" t="str">
        <f t="shared" si="13"/>
        <v>case L'': bmcode = 0x01A3; break;</v>
      </c>
    </row>
    <row r="186" spans="2:11" ht="26.5" customHeight="1">
      <c r="B186" s="2">
        <v>164</v>
      </c>
      <c r="C186" s="2">
        <f t="shared" si="10"/>
        <v>10</v>
      </c>
      <c r="D186" s="2">
        <f t="shared" si="11"/>
        <v>4</v>
      </c>
      <c r="E186" s="2" t="str">
        <f t="shared" si="12"/>
        <v/>
      </c>
      <c r="F186" s="2"/>
      <c r="G186" s="2"/>
      <c r="K186" t="str">
        <f t="shared" si="13"/>
        <v>case L'': bmcode = 0x01A4; break;</v>
      </c>
    </row>
    <row r="187" spans="2:11" ht="26.5" customHeight="1">
      <c r="B187" s="2">
        <v>165</v>
      </c>
      <c r="C187" s="2">
        <f t="shared" si="10"/>
        <v>10</v>
      </c>
      <c r="D187" s="2">
        <f t="shared" si="11"/>
        <v>5</v>
      </c>
      <c r="E187" s="2" t="str">
        <f t="shared" si="12"/>
        <v/>
      </c>
      <c r="F187" s="2"/>
      <c r="G187" s="2"/>
      <c r="K187" t="str">
        <f t="shared" si="13"/>
        <v>case L'': bmcode = 0x01A5; break;</v>
      </c>
    </row>
    <row r="188" spans="2:11" ht="26.5" customHeight="1">
      <c r="B188" s="2">
        <v>166</v>
      </c>
      <c r="C188" s="2">
        <f t="shared" si="10"/>
        <v>10</v>
      </c>
      <c r="D188" s="2">
        <f t="shared" si="11"/>
        <v>6</v>
      </c>
      <c r="E188" s="2" t="str">
        <f t="shared" si="12"/>
        <v/>
      </c>
      <c r="F188" s="2"/>
      <c r="G188" s="2"/>
      <c r="K188" t="str">
        <f t="shared" si="13"/>
        <v>case L'': bmcode = 0x01A6; break;</v>
      </c>
    </row>
    <row r="189" spans="2:11" ht="26.5" customHeight="1">
      <c r="B189" s="2">
        <v>167</v>
      </c>
      <c r="C189" s="2">
        <f t="shared" si="10"/>
        <v>10</v>
      </c>
      <c r="D189" s="2">
        <f t="shared" si="11"/>
        <v>7</v>
      </c>
      <c r="E189" s="2" t="str">
        <f t="shared" si="12"/>
        <v/>
      </c>
      <c r="F189" s="2"/>
      <c r="G189" s="2"/>
      <c r="K189" t="str">
        <f t="shared" si="13"/>
        <v>case L'': bmcode = 0x01A7; break;</v>
      </c>
    </row>
    <row r="190" spans="2:11" ht="26.5" customHeight="1">
      <c r="B190" s="2">
        <v>168</v>
      </c>
      <c r="C190" s="2">
        <f t="shared" si="10"/>
        <v>10</v>
      </c>
      <c r="D190" s="2">
        <f t="shared" si="11"/>
        <v>8</v>
      </c>
      <c r="E190" s="2" t="str">
        <f t="shared" si="12"/>
        <v/>
      </c>
      <c r="F190" s="2"/>
      <c r="G190" s="2"/>
      <c r="K190" t="str">
        <f t="shared" si="13"/>
        <v>case L'': bmcode = 0x01A8; break;</v>
      </c>
    </row>
    <row r="191" spans="2:11" ht="26.5" customHeight="1">
      <c r="B191" s="2">
        <v>169</v>
      </c>
      <c r="C191" s="2">
        <f t="shared" si="10"/>
        <v>10</v>
      </c>
      <c r="D191" s="2">
        <f t="shared" si="11"/>
        <v>9</v>
      </c>
      <c r="E191" s="2" t="str">
        <f t="shared" si="12"/>
        <v/>
      </c>
      <c r="F191" s="2"/>
      <c r="G191" s="2"/>
      <c r="K191" t="str">
        <f t="shared" si="13"/>
        <v>case L'': bmcode = 0x01A9; break;</v>
      </c>
    </row>
    <row r="192" spans="2:11" ht="26.5" customHeight="1">
      <c r="B192" s="2">
        <v>170</v>
      </c>
      <c r="C192" s="2">
        <f t="shared" si="10"/>
        <v>10</v>
      </c>
      <c r="D192" s="2">
        <f t="shared" si="11"/>
        <v>10</v>
      </c>
      <c r="E192" s="2" t="str">
        <f t="shared" si="12"/>
        <v/>
      </c>
      <c r="F192" s="2"/>
      <c r="G192" s="2"/>
      <c r="K192" t="str">
        <f t="shared" si="13"/>
        <v>case L'': bmcode = 0x01AA; break;</v>
      </c>
    </row>
    <row r="193" spans="2:11" ht="26.5" customHeight="1">
      <c r="B193" s="2">
        <v>171</v>
      </c>
      <c r="C193" s="2">
        <f t="shared" si="10"/>
        <v>10</v>
      </c>
      <c r="D193" s="2">
        <f t="shared" si="11"/>
        <v>11</v>
      </c>
      <c r="E193" s="2" t="str">
        <f t="shared" si="12"/>
        <v/>
      </c>
      <c r="F193" s="2"/>
      <c r="G193" s="2"/>
      <c r="K193" t="str">
        <f t="shared" si="13"/>
        <v>case L'': bmcode = 0x01AB; break;</v>
      </c>
    </row>
    <row r="194" spans="2:11" ht="26.5" customHeight="1">
      <c r="B194" s="2">
        <v>172</v>
      </c>
      <c r="C194" s="2">
        <f t="shared" si="10"/>
        <v>10</v>
      </c>
      <c r="D194" s="2">
        <f t="shared" si="11"/>
        <v>12</v>
      </c>
      <c r="E194" s="2" t="str">
        <f t="shared" si="12"/>
        <v/>
      </c>
      <c r="F194" s="2"/>
      <c r="G194" s="2"/>
      <c r="K194" t="str">
        <f t="shared" si="13"/>
        <v>case L'': bmcode = 0x01AC; break;</v>
      </c>
    </row>
    <row r="195" spans="2:11" ht="26.5" customHeight="1">
      <c r="B195" s="2">
        <v>173</v>
      </c>
      <c r="C195" s="2">
        <f t="shared" si="10"/>
        <v>10</v>
      </c>
      <c r="D195" s="2">
        <f t="shared" si="11"/>
        <v>13</v>
      </c>
      <c r="E195" s="2" t="str">
        <f t="shared" si="12"/>
        <v/>
      </c>
      <c r="F195" s="2"/>
      <c r="G195" s="2"/>
      <c r="K195" t="str">
        <f t="shared" si="13"/>
        <v>case L'': bmcode = 0x01AD; break;</v>
      </c>
    </row>
    <row r="196" spans="2:11" ht="26.5" customHeight="1">
      <c r="B196" s="2">
        <v>174</v>
      </c>
      <c r="C196" s="2">
        <f t="shared" si="10"/>
        <v>10</v>
      </c>
      <c r="D196" s="2">
        <f t="shared" si="11"/>
        <v>14</v>
      </c>
      <c r="E196" s="2" t="str">
        <f t="shared" si="12"/>
        <v/>
      </c>
      <c r="F196" s="2"/>
      <c r="G196" s="2"/>
      <c r="K196" t="str">
        <f t="shared" si="13"/>
        <v>case L'': bmcode = 0x01AE; break;</v>
      </c>
    </row>
    <row r="197" spans="2:11" ht="26.5" customHeight="1">
      <c r="B197" s="2">
        <v>175</v>
      </c>
      <c r="C197" s="2">
        <f t="shared" si="10"/>
        <v>10</v>
      </c>
      <c r="D197" s="2">
        <f t="shared" si="11"/>
        <v>15</v>
      </c>
      <c r="E197" s="2" t="str">
        <f t="shared" si="12"/>
        <v/>
      </c>
      <c r="F197" s="2"/>
      <c r="G197" s="2"/>
      <c r="K197" t="str">
        <f t="shared" si="13"/>
        <v>case L'': bmcode = 0x01AF; break;</v>
      </c>
    </row>
    <row r="198" spans="2:11" ht="26.5" customHeight="1">
      <c r="B198" s="2">
        <v>176</v>
      </c>
      <c r="C198" s="2">
        <f t="shared" si="10"/>
        <v>11</v>
      </c>
      <c r="D198" s="2">
        <f t="shared" si="11"/>
        <v>0</v>
      </c>
      <c r="E198" s="2" t="str">
        <f t="shared" si="12"/>
        <v/>
      </c>
      <c r="F198" s="2"/>
      <c r="G198" s="2"/>
      <c r="K198" t="str">
        <f t="shared" si="13"/>
        <v>case L'': bmcode = 0x01B0; break;</v>
      </c>
    </row>
    <row r="199" spans="2:11" ht="26.5" customHeight="1">
      <c r="B199" s="2">
        <v>177</v>
      </c>
      <c r="C199" s="2">
        <f t="shared" si="10"/>
        <v>11</v>
      </c>
      <c r="D199" s="2">
        <f t="shared" si="11"/>
        <v>1</v>
      </c>
      <c r="E199" s="2" t="str">
        <f t="shared" si="12"/>
        <v/>
      </c>
      <c r="F199" s="2"/>
      <c r="G199" s="2"/>
      <c r="K199" t="str">
        <f t="shared" si="13"/>
        <v>case L'': bmcode = 0x01B1; break;</v>
      </c>
    </row>
    <row r="200" spans="2:11" ht="26.5" customHeight="1">
      <c r="B200" s="2">
        <v>178</v>
      </c>
      <c r="C200" s="2">
        <f t="shared" si="10"/>
        <v>11</v>
      </c>
      <c r="D200" s="2">
        <f t="shared" si="11"/>
        <v>2</v>
      </c>
      <c r="E200" s="2" t="str">
        <f t="shared" si="12"/>
        <v/>
      </c>
      <c r="F200" s="2"/>
      <c r="G200" s="2"/>
      <c r="K200" t="str">
        <f t="shared" si="13"/>
        <v>case L'': bmcode = 0x01B2; break;</v>
      </c>
    </row>
    <row r="201" spans="2:11" ht="26.5" customHeight="1">
      <c r="B201" s="2">
        <v>179</v>
      </c>
      <c r="C201" s="2">
        <f t="shared" si="10"/>
        <v>11</v>
      </c>
      <c r="D201" s="2">
        <f t="shared" si="11"/>
        <v>3</v>
      </c>
      <c r="E201" s="2" t="str">
        <f t="shared" si="12"/>
        <v/>
      </c>
      <c r="F201" s="2"/>
      <c r="G201" s="2"/>
      <c r="K201" t="str">
        <f t="shared" si="13"/>
        <v>case L'': bmcode = 0x01B3; break;</v>
      </c>
    </row>
    <row r="202" spans="2:11" ht="26.5" customHeight="1">
      <c r="B202" s="2">
        <v>180</v>
      </c>
      <c r="C202" s="2">
        <f t="shared" si="10"/>
        <v>11</v>
      </c>
      <c r="D202" s="2">
        <f t="shared" si="11"/>
        <v>4</v>
      </c>
      <c r="E202" s="2" t="str">
        <f t="shared" si="12"/>
        <v/>
      </c>
      <c r="F202" s="2"/>
      <c r="G202" s="2"/>
      <c r="K202" t="str">
        <f t="shared" si="13"/>
        <v>case L'': bmcode = 0x01B4; break;</v>
      </c>
    </row>
    <row r="203" spans="2:11" ht="26.5" customHeight="1">
      <c r="B203" s="2">
        <v>181</v>
      </c>
      <c r="C203" s="2">
        <f t="shared" si="10"/>
        <v>11</v>
      </c>
      <c r="D203" s="2">
        <f t="shared" si="11"/>
        <v>5</v>
      </c>
      <c r="E203" s="2" t="str">
        <f t="shared" si="12"/>
        <v/>
      </c>
      <c r="F203" s="2"/>
      <c r="G203" s="2"/>
      <c r="K203" t="str">
        <f t="shared" si="13"/>
        <v>case L'': bmcode = 0x01B5; break;</v>
      </c>
    </row>
    <row r="204" spans="2:11" ht="26.5" customHeight="1">
      <c r="B204" s="2">
        <v>182</v>
      </c>
      <c r="C204" s="2">
        <f t="shared" si="10"/>
        <v>11</v>
      </c>
      <c r="D204" s="2">
        <f t="shared" si="11"/>
        <v>6</v>
      </c>
      <c r="E204" s="2" t="str">
        <f t="shared" si="12"/>
        <v/>
      </c>
      <c r="F204" s="2"/>
      <c r="G204" s="2"/>
      <c r="K204" t="str">
        <f t="shared" si="13"/>
        <v>case L'': bmcode = 0x01B6; break;</v>
      </c>
    </row>
    <row r="205" spans="2:11" ht="26.5" customHeight="1">
      <c r="B205" s="2">
        <v>183</v>
      </c>
      <c r="C205" s="2">
        <f t="shared" si="10"/>
        <v>11</v>
      </c>
      <c r="D205" s="2">
        <f t="shared" si="11"/>
        <v>7</v>
      </c>
      <c r="E205" s="2" t="str">
        <f t="shared" si="12"/>
        <v/>
      </c>
      <c r="F205" s="2"/>
      <c r="G205" s="2"/>
      <c r="K205" t="str">
        <f t="shared" si="13"/>
        <v>case L'': bmcode = 0x01B7; break;</v>
      </c>
    </row>
    <row r="206" spans="2:11" ht="26.5" customHeight="1">
      <c r="B206" s="2">
        <v>184</v>
      </c>
      <c r="C206" s="2">
        <f t="shared" si="10"/>
        <v>11</v>
      </c>
      <c r="D206" s="2">
        <f t="shared" si="11"/>
        <v>8</v>
      </c>
      <c r="E206" s="2" t="str">
        <f t="shared" si="12"/>
        <v/>
      </c>
      <c r="F206" s="2"/>
      <c r="G206" s="2"/>
      <c r="K206" t="str">
        <f t="shared" si="13"/>
        <v>case L'': bmcode = 0x01B8; break;</v>
      </c>
    </row>
    <row r="207" spans="2:11" ht="26.5" customHeight="1">
      <c r="B207" s="2">
        <v>185</v>
      </c>
      <c r="C207" s="2">
        <f t="shared" si="10"/>
        <v>11</v>
      </c>
      <c r="D207" s="2">
        <f t="shared" si="11"/>
        <v>9</v>
      </c>
      <c r="E207" s="2" t="str">
        <f t="shared" si="12"/>
        <v/>
      </c>
      <c r="F207" s="2"/>
      <c r="G207" s="2"/>
      <c r="K207" t="str">
        <f t="shared" si="13"/>
        <v>case L'': bmcode = 0x01B9; break;</v>
      </c>
    </row>
    <row r="208" spans="2:11" ht="26.5" customHeight="1">
      <c r="B208" s="2">
        <v>186</v>
      </c>
      <c r="C208" s="2">
        <f t="shared" si="10"/>
        <v>11</v>
      </c>
      <c r="D208" s="2">
        <f t="shared" si="11"/>
        <v>10</v>
      </c>
      <c r="E208" s="2" t="str">
        <f t="shared" si="12"/>
        <v/>
      </c>
      <c r="F208" s="2"/>
      <c r="G208" s="2"/>
      <c r="K208" t="str">
        <f t="shared" si="13"/>
        <v>case L'': bmcode = 0x01BA; break;</v>
      </c>
    </row>
    <row r="209" spans="2:11" ht="26.5" customHeight="1">
      <c r="B209" s="2">
        <v>187</v>
      </c>
      <c r="C209" s="2">
        <f t="shared" si="10"/>
        <v>11</v>
      </c>
      <c r="D209" s="2">
        <f t="shared" si="11"/>
        <v>11</v>
      </c>
      <c r="E209" s="2" t="str">
        <f t="shared" si="12"/>
        <v/>
      </c>
      <c r="F209" s="2"/>
      <c r="G209" s="2"/>
      <c r="K209" t="str">
        <f t="shared" si="13"/>
        <v>case L'': bmcode = 0x01BB; break;</v>
      </c>
    </row>
    <row r="210" spans="2:11" ht="26.5" customHeight="1">
      <c r="B210" s="2">
        <v>188</v>
      </c>
      <c r="C210" s="2">
        <f t="shared" si="10"/>
        <v>11</v>
      </c>
      <c r="D210" s="2">
        <f t="shared" si="11"/>
        <v>12</v>
      </c>
      <c r="E210" s="2" t="str">
        <f t="shared" si="12"/>
        <v/>
      </c>
      <c r="F210" s="2"/>
      <c r="G210" s="2"/>
      <c r="K210" t="str">
        <f t="shared" si="13"/>
        <v>case L'': bmcode = 0x01BC; break;</v>
      </c>
    </row>
    <row r="211" spans="2:11" ht="26.5" customHeight="1">
      <c r="B211" s="2">
        <v>189</v>
      </c>
      <c r="C211" s="2">
        <f t="shared" si="10"/>
        <v>11</v>
      </c>
      <c r="D211" s="2">
        <f t="shared" si="11"/>
        <v>13</v>
      </c>
      <c r="E211" s="2" t="str">
        <f t="shared" si="12"/>
        <v/>
      </c>
      <c r="F211" s="2"/>
      <c r="G211" s="2"/>
      <c r="K211" t="str">
        <f t="shared" si="13"/>
        <v>case L'': bmcode = 0x01BD; break;</v>
      </c>
    </row>
    <row r="212" spans="2:11" ht="26.5" customHeight="1">
      <c r="B212" s="2">
        <v>190</v>
      </c>
      <c r="C212" s="2">
        <f t="shared" si="10"/>
        <v>11</v>
      </c>
      <c r="D212" s="2">
        <f t="shared" si="11"/>
        <v>14</v>
      </c>
      <c r="E212" s="2" t="str">
        <f t="shared" si="12"/>
        <v/>
      </c>
      <c r="F212" s="2"/>
      <c r="G212" s="2"/>
      <c r="K212" t="str">
        <f t="shared" si="13"/>
        <v>case L'': bmcode = 0x01BE; break;</v>
      </c>
    </row>
    <row r="213" spans="2:11" ht="26.5" customHeight="1">
      <c r="B213" s="2">
        <v>191</v>
      </c>
      <c r="C213" s="2">
        <f t="shared" si="10"/>
        <v>11</v>
      </c>
      <c r="D213" s="2">
        <f t="shared" si="11"/>
        <v>15</v>
      </c>
      <c r="E213" s="2" t="str">
        <f t="shared" si="12"/>
        <v/>
      </c>
      <c r="F213" s="2"/>
      <c r="G213" s="2"/>
      <c r="K213" t="str">
        <f t="shared" si="13"/>
        <v>case L'': bmcode = 0x01BF; break;</v>
      </c>
    </row>
    <row r="214" spans="2:11" ht="26.5" customHeight="1">
      <c r="B214" s="2">
        <v>192</v>
      </c>
      <c r="C214" s="2">
        <f t="shared" ref="C214:C277" si="14">ROUNDDOWN(B214/16,0)</f>
        <v>12</v>
      </c>
      <c r="D214" s="2">
        <f t="shared" si="11"/>
        <v>0</v>
      </c>
      <c r="E214" s="2" t="str">
        <f t="shared" si="12"/>
        <v/>
      </c>
      <c r="F214" s="2"/>
      <c r="G214" s="2"/>
      <c r="K214" t="str">
        <f t="shared" si="13"/>
        <v>case L'': bmcode = 0x01C0; break;</v>
      </c>
    </row>
    <row r="215" spans="2:11" ht="26.5" customHeight="1">
      <c r="B215" s="2">
        <v>193</v>
      </c>
      <c r="C215" s="2">
        <f t="shared" si="14"/>
        <v>12</v>
      </c>
      <c r="D215" s="2">
        <f t="shared" ref="D215:D277" si="15">MOD(B215,16)</f>
        <v>1</v>
      </c>
      <c r="E215" s="2" t="str">
        <f t="shared" ref="E215:E277" si="16">IF(INDEX($C$3:$R$18,C215+1,D215+1)="","",INDEX($C$3:$R$18,C215+1,D215+1))</f>
        <v/>
      </c>
      <c r="F215" s="2"/>
      <c r="G215" s="2"/>
      <c r="K215" t="str">
        <f t="shared" ref="K215:K277" si="17">"case "&amp;"L'"&amp;E215&amp;"'"&amp;": "&amp;"bmcode = 0x"&amp;RIGHT("0000"&amp;DEC2HEX($K$19*256+C215*16+D215),4)&amp;"; break;"</f>
        <v>case L'': bmcode = 0x01C1; break;</v>
      </c>
    </row>
    <row r="216" spans="2:11" ht="26.5" customHeight="1">
      <c r="B216" s="2">
        <v>194</v>
      </c>
      <c r="C216" s="2">
        <f t="shared" si="14"/>
        <v>12</v>
      </c>
      <c r="D216" s="2">
        <f t="shared" si="15"/>
        <v>2</v>
      </c>
      <c r="E216" s="2" t="str">
        <f t="shared" si="16"/>
        <v/>
      </c>
      <c r="F216" s="2"/>
      <c r="G216" s="2"/>
      <c r="K216" t="str">
        <f t="shared" si="17"/>
        <v>case L'': bmcode = 0x01C2; break;</v>
      </c>
    </row>
    <row r="217" spans="2:11" ht="26.5" customHeight="1">
      <c r="B217" s="2">
        <v>195</v>
      </c>
      <c r="C217" s="2">
        <f t="shared" si="14"/>
        <v>12</v>
      </c>
      <c r="D217" s="2">
        <f t="shared" si="15"/>
        <v>3</v>
      </c>
      <c r="E217" s="2" t="str">
        <f t="shared" si="16"/>
        <v/>
      </c>
      <c r="F217" s="2"/>
      <c r="G217" s="2"/>
      <c r="K217" t="str">
        <f t="shared" si="17"/>
        <v>case L'': bmcode = 0x01C3; break;</v>
      </c>
    </row>
    <row r="218" spans="2:11" ht="26.5" customHeight="1">
      <c r="B218" s="2">
        <v>196</v>
      </c>
      <c r="C218" s="2">
        <f t="shared" si="14"/>
        <v>12</v>
      </c>
      <c r="D218" s="2">
        <f t="shared" si="15"/>
        <v>4</v>
      </c>
      <c r="E218" s="2" t="str">
        <f t="shared" si="16"/>
        <v/>
      </c>
      <c r="F218" s="2"/>
      <c r="G218" s="2"/>
      <c r="K218" t="str">
        <f t="shared" si="17"/>
        <v>case L'': bmcode = 0x01C4; break;</v>
      </c>
    </row>
    <row r="219" spans="2:11" ht="26.5" customHeight="1">
      <c r="B219" s="2">
        <v>197</v>
      </c>
      <c r="C219" s="2">
        <f t="shared" si="14"/>
        <v>12</v>
      </c>
      <c r="D219" s="2">
        <f t="shared" si="15"/>
        <v>5</v>
      </c>
      <c r="E219" s="2" t="str">
        <f t="shared" si="16"/>
        <v/>
      </c>
      <c r="F219" s="2"/>
      <c r="G219" s="2"/>
      <c r="K219" t="str">
        <f t="shared" si="17"/>
        <v>case L'': bmcode = 0x01C5; break;</v>
      </c>
    </row>
    <row r="220" spans="2:11" ht="26.5" customHeight="1">
      <c r="B220" s="2">
        <v>198</v>
      </c>
      <c r="C220" s="2">
        <f t="shared" si="14"/>
        <v>12</v>
      </c>
      <c r="D220" s="2">
        <f t="shared" si="15"/>
        <v>6</v>
      </c>
      <c r="E220" s="2" t="str">
        <f t="shared" si="16"/>
        <v/>
      </c>
      <c r="F220" s="2"/>
      <c r="G220" s="2"/>
      <c r="K220" t="str">
        <f t="shared" si="17"/>
        <v>case L'': bmcode = 0x01C6; break;</v>
      </c>
    </row>
    <row r="221" spans="2:11" ht="26.5" customHeight="1">
      <c r="B221" s="2">
        <v>199</v>
      </c>
      <c r="C221" s="2">
        <f t="shared" si="14"/>
        <v>12</v>
      </c>
      <c r="D221" s="2">
        <f t="shared" si="15"/>
        <v>7</v>
      </c>
      <c r="E221" s="2" t="str">
        <f t="shared" si="16"/>
        <v/>
      </c>
      <c r="F221" s="2"/>
      <c r="G221" s="2"/>
      <c r="K221" t="str">
        <f t="shared" si="17"/>
        <v>case L'': bmcode = 0x01C7; break;</v>
      </c>
    </row>
    <row r="222" spans="2:11" ht="26.5" customHeight="1">
      <c r="B222" s="2">
        <v>200</v>
      </c>
      <c r="C222" s="2">
        <f t="shared" si="14"/>
        <v>12</v>
      </c>
      <c r="D222" s="2">
        <f t="shared" si="15"/>
        <v>8</v>
      </c>
      <c r="E222" s="2" t="str">
        <f t="shared" si="16"/>
        <v/>
      </c>
      <c r="F222" s="2"/>
      <c r="G222" s="2"/>
      <c r="K222" t="str">
        <f t="shared" si="17"/>
        <v>case L'': bmcode = 0x01C8; break;</v>
      </c>
    </row>
    <row r="223" spans="2:11" ht="26.5" customHeight="1">
      <c r="B223" s="2">
        <v>201</v>
      </c>
      <c r="C223" s="2">
        <f t="shared" si="14"/>
        <v>12</v>
      </c>
      <c r="D223" s="2">
        <f t="shared" si="15"/>
        <v>9</v>
      </c>
      <c r="E223" s="2" t="str">
        <f t="shared" si="16"/>
        <v/>
      </c>
      <c r="F223" s="2"/>
      <c r="G223" s="2"/>
      <c r="K223" t="str">
        <f t="shared" si="17"/>
        <v>case L'': bmcode = 0x01C9; break;</v>
      </c>
    </row>
    <row r="224" spans="2:11" ht="26.5" customHeight="1">
      <c r="B224" s="2">
        <v>202</v>
      </c>
      <c r="C224" s="2">
        <f t="shared" si="14"/>
        <v>12</v>
      </c>
      <c r="D224" s="2">
        <f t="shared" si="15"/>
        <v>10</v>
      </c>
      <c r="E224" s="2" t="str">
        <f t="shared" si="16"/>
        <v/>
      </c>
      <c r="F224" s="2"/>
      <c r="G224" s="2"/>
      <c r="K224" t="str">
        <f t="shared" si="17"/>
        <v>case L'': bmcode = 0x01CA; break;</v>
      </c>
    </row>
    <row r="225" spans="2:11" ht="26.5" customHeight="1">
      <c r="B225" s="2">
        <v>203</v>
      </c>
      <c r="C225" s="2">
        <f t="shared" si="14"/>
        <v>12</v>
      </c>
      <c r="D225" s="2">
        <f t="shared" si="15"/>
        <v>11</v>
      </c>
      <c r="E225" s="2" t="str">
        <f t="shared" si="16"/>
        <v/>
      </c>
      <c r="F225" s="2"/>
      <c r="G225" s="2"/>
      <c r="K225" t="str">
        <f t="shared" si="17"/>
        <v>case L'': bmcode = 0x01CB; break;</v>
      </c>
    </row>
    <row r="226" spans="2:11" ht="26.5" customHeight="1">
      <c r="B226" s="2">
        <v>204</v>
      </c>
      <c r="C226" s="2">
        <f t="shared" si="14"/>
        <v>12</v>
      </c>
      <c r="D226" s="2">
        <f t="shared" si="15"/>
        <v>12</v>
      </c>
      <c r="E226" s="2" t="str">
        <f t="shared" si="16"/>
        <v/>
      </c>
      <c r="F226" s="2"/>
      <c r="G226" s="2"/>
      <c r="K226" t="str">
        <f t="shared" si="17"/>
        <v>case L'': bmcode = 0x01CC; break;</v>
      </c>
    </row>
    <row r="227" spans="2:11" ht="26.5" customHeight="1">
      <c r="B227" s="2">
        <v>205</v>
      </c>
      <c r="C227" s="2">
        <f t="shared" si="14"/>
        <v>12</v>
      </c>
      <c r="D227" s="2">
        <f t="shared" si="15"/>
        <v>13</v>
      </c>
      <c r="E227" s="2" t="str">
        <f t="shared" si="16"/>
        <v/>
      </c>
      <c r="F227" s="2"/>
      <c r="G227" s="2"/>
      <c r="K227" t="str">
        <f t="shared" si="17"/>
        <v>case L'': bmcode = 0x01CD; break;</v>
      </c>
    </row>
    <row r="228" spans="2:11" ht="26.5" customHeight="1">
      <c r="B228" s="2">
        <v>206</v>
      </c>
      <c r="C228" s="2">
        <f t="shared" si="14"/>
        <v>12</v>
      </c>
      <c r="D228" s="2">
        <f t="shared" si="15"/>
        <v>14</v>
      </c>
      <c r="E228" s="2" t="str">
        <f t="shared" si="16"/>
        <v/>
      </c>
      <c r="F228" s="2"/>
      <c r="G228" s="2"/>
      <c r="K228" t="str">
        <f t="shared" si="17"/>
        <v>case L'': bmcode = 0x01CE; break;</v>
      </c>
    </row>
    <row r="229" spans="2:11" ht="26.5" customHeight="1">
      <c r="B229" s="2">
        <v>207</v>
      </c>
      <c r="C229" s="2">
        <f t="shared" si="14"/>
        <v>12</v>
      </c>
      <c r="D229" s="2">
        <f t="shared" si="15"/>
        <v>15</v>
      </c>
      <c r="E229" s="2" t="str">
        <f t="shared" si="16"/>
        <v/>
      </c>
      <c r="F229" s="2"/>
      <c r="G229" s="2"/>
      <c r="K229" t="str">
        <f t="shared" si="17"/>
        <v>case L'': bmcode = 0x01CF; break;</v>
      </c>
    </row>
    <row r="230" spans="2:11" ht="26.5" customHeight="1">
      <c r="B230" s="2">
        <v>208</v>
      </c>
      <c r="C230" s="2">
        <f t="shared" si="14"/>
        <v>13</v>
      </c>
      <c r="D230" s="2">
        <f t="shared" si="15"/>
        <v>0</v>
      </c>
      <c r="E230" s="2" t="str">
        <f t="shared" si="16"/>
        <v/>
      </c>
      <c r="F230" s="2"/>
      <c r="G230" s="2"/>
      <c r="K230" t="str">
        <f t="shared" si="17"/>
        <v>case L'': bmcode = 0x01D0; break;</v>
      </c>
    </row>
    <row r="231" spans="2:11" ht="26.5" customHeight="1">
      <c r="B231" s="2">
        <v>209</v>
      </c>
      <c r="C231" s="2">
        <f t="shared" si="14"/>
        <v>13</v>
      </c>
      <c r="D231" s="2">
        <f t="shared" si="15"/>
        <v>1</v>
      </c>
      <c r="E231" s="2" t="str">
        <f t="shared" si="16"/>
        <v/>
      </c>
      <c r="F231" s="2"/>
      <c r="G231" s="2"/>
      <c r="K231" t="str">
        <f t="shared" si="17"/>
        <v>case L'': bmcode = 0x01D1; break;</v>
      </c>
    </row>
    <row r="232" spans="2:11" ht="26.5" customHeight="1">
      <c r="B232" s="2">
        <v>210</v>
      </c>
      <c r="C232" s="2">
        <f t="shared" si="14"/>
        <v>13</v>
      </c>
      <c r="D232" s="2">
        <f t="shared" si="15"/>
        <v>2</v>
      </c>
      <c r="E232" s="2" t="str">
        <f t="shared" si="16"/>
        <v/>
      </c>
      <c r="F232" s="2"/>
      <c r="G232" s="2"/>
      <c r="K232" t="str">
        <f t="shared" si="17"/>
        <v>case L'': bmcode = 0x01D2; break;</v>
      </c>
    </row>
    <row r="233" spans="2:11" ht="26.5" customHeight="1">
      <c r="B233" s="2">
        <v>211</v>
      </c>
      <c r="C233" s="2">
        <f t="shared" si="14"/>
        <v>13</v>
      </c>
      <c r="D233" s="2">
        <f t="shared" si="15"/>
        <v>3</v>
      </c>
      <c r="E233" s="2" t="str">
        <f t="shared" si="16"/>
        <v/>
      </c>
      <c r="F233" s="2"/>
      <c r="G233" s="2"/>
      <c r="K233" t="str">
        <f t="shared" si="17"/>
        <v>case L'': bmcode = 0x01D3; break;</v>
      </c>
    </row>
    <row r="234" spans="2:11" ht="26.5" customHeight="1">
      <c r="B234" s="2">
        <v>212</v>
      </c>
      <c r="C234" s="2">
        <f t="shared" si="14"/>
        <v>13</v>
      </c>
      <c r="D234" s="2">
        <f t="shared" si="15"/>
        <v>4</v>
      </c>
      <c r="E234" s="2" t="str">
        <f t="shared" si="16"/>
        <v/>
      </c>
      <c r="F234" s="2"/>
      <c r="G234" s="2"/>
      <c r="K234" t="str">
        <f t="shared" si="17"/>
        <v>case L'': bmcode = 0x01D4; break;</v>
      </c>
    </row>
    <row r="235" spans="2:11" ht="26.5" customHeight="1">
      <c r="B235" s="2">
        <v>213</v>
      </c>
      <c r="C235" s="2">
        <f t="shared" si="14"/>
        <v>13</v>
      </c>
      <c r="D235" s="2">
        <f t="shared" si="15"/>
        <v>5</v>
      </c>
      <c r="E235" s="2" t="str">
        <f t="shared" si="16"/>
        <v/>
      </c>
      <c r="F235" s="2"/>
      <c r="G235" s="2"/>
      <c r="K235" t="str">
        <f t="shared" si="17"/>
        <v>case L'': bmcode = 0x01D5; break;</v>
      </c>
    </row>
    <row r="236" spans="2:11" ht="26.5" customHeight="1">
      <c r="B236" s="2">
        <v>214</v>
      </c>
      <c r="C236" s="2">
        <f t="shared" si="14"/>
        <v>13</v>
      </c>
      <c r="D236" s="2">
        <f t="shared" si="15"/>
        <v>6</v>
      </c>
      <c r="E236" s="2" t="str">
        <f t="shared" si="16"/>
        <v/>
      </c>
      <c r="F236" s="2"/>
      <c r="G236" s="2"/>
      <c r="K236" t="str">
        <f t="shared" si="17"/>
        <v>case L'': bmcode = 0x01D6; break;</v>
      </c>
    </row>
    <row r="237" spans="2:11" ht="26.5" customHeight="1">
      <c r="B237" s="2">
        <v>215</v>
      </c>
      <c r="C237" s="2">
        <f t="shared" si="14"/>
        <v>13</v>
      </c>
      <c r="D237" s="2">
        <f t="shared" si="15"/>
        <v>7</v>
      </c>
      <c r="E237" s="2" t="str">
        <f t="shared" si="16"/>
        <v/>
      </c>
      <c r="F237" s="2"/>
      <c r="G237" s="2"/>
      <c r="K237" t="str">
        <f t="shared" si="17"/>
        <v>case L'': bmcode = 0x01D7; break;</v>
      </c>
    </row>
    <row r="238" spans="2:11" ht="26.5" customHeight="1">
      <c r="B238" s="2">
        <v>216</v>
      </c>
      <c r="C238" s="2">
        <f t="shared" si="14"/>
        <v>13</v>
      </c>
      <c r="D238" s="2">
        <f t="shared" si="15"/>
        <v>8</v>
      </c>
      <c r="E238" s="2" t="str">
        <f t="shared" si="16"/>
        <v/>
      </c>
      <c r="F238" s="2"/>
      <c r="G238" s="2"/>
      <c r="K238" t="str">
        <f t="shared" si="17"/>
        <v>case L'': bmcode = 0x01D8; break;</v>
      </c>
    </row>
    <row r="239" spans="2:11" ht="26.5" customHeight="1">
      <c r="B239" s="2">
        <v>217</v>
      </c>
      <c r="C239" s="2">
        <f t="shared" si="14"/>
        <v>13</v>
      </c>
      <c r="D239" s="2">
        <f t="shared" si="15"/>
        <v>9</v>
      </c>
      <c r="E239" s="2" t="str">
        <f t="shared" si="16"/>
        <v/>
      </c>
      <c r="F239" s="2"/>
      <c r="G239" s="2"/>
      <c r="K239" t="str">
        <f t="shared" si="17"/>
        <v>case L'': bmcode = 0x01D9; break;</v>
      </c>
    </row>
    <row r="240" spans="2:11" ht="26.5" customHeight="1">
      <c r="B240" s="2">
        <v>218</v>
      </c>
      <c r="C240" s="2">
        <f t="shared" si="14"/>
        <v>13</v>
      </c>
      <c r="D240" s="2">
        <f t="shared" si="15"/>
        <v>10</v>
      </c>
      <c r="E240" s="2" t="str">
        <f t="shared" si="16"/>
        <v/>
      </c>
      <c r="F240" s="2"/>
      <c r="G240" s="2"/>
      <c r="K240" t="str">
        <f t="shared" si="17"/>
        <v>case L'': bmcode = 0x01DA; break;</v>
      </c>
    </row>
    <row r="241" spans="2:11" ht="26.5" customHeight="1">
      <c r="B241" s="2">
        <v>219</v>
      </c>
      <c r="C241" s="2">
        <f t="shared" si="14"/>
        <v>13</v>
      </c>
      <c r="D241" s="2">
        <f t="shared" si="15"/>
        <v>11</v>
      </c>
      <c r="E241" s="2" t="str">
        <f t="shared" si="16"/>
        <v/>
      </c>
      <c r="F241" s="2"/>
      <c r="G241" s="2"/>
      <c r="K241" t="str">
        <f t="shared" si="17"/>
        <v>case L'': bmcode = 0x01DB; break;</v>
      </c>
    </row>
    <row r="242" spans="2:11" ht="26.5" customHeight="1">
      <c r="B242" s="2">
        <v>220</v>
      </c>
      <c r="C242" s="2">
        <f t="shared" si="14"/>
        <v>13</v>
      </c>
      <c r="D242" s="2">
        <f t="shared" si="15"/>
        <v>12</v>
      </c>
      <c r="E242" s="2" t="str">
        <f t="shared" si="16"/>
        <v/>
      </c>
      <c r="F242" s="2"/>
      <c r="G242" s="2"/>
      <c r="K242" t="str">
        <f t="shared" si="17"/>
        <v>case L'': bmcode = 0x01DC; break;</v>
      </c>
    </row>
    <row r="243" spans="2:11" ht="26.5" customHeight="1">
      <c r="B243" s="2">
        <v>221</v>
      </c>
      <c r="C243" s="2">
        <f t="shared" si="14"/>
        <v>13</v>
      </c>
      <c r="D243" s="2">
        <f t="shared" si="15"/>
        <v>13</v>
      </c>
      <c r="E243" s="2" t="str">
        <f t="shared" si="16"/>
        <v/>
      </c>
      <c r="F243" s="2"/>
      <c r="G243" s="2"/>
      <c r="K243" t="str">
        <f t="shared" si="17"/>
        <v>case L'': bmcode = 0x01DD; break;</v>
      </c>
    </row>
    <row r="244" spans="2:11" ht="26.5" customHeight="1">
      <c r="B244" s="2">
        <v>222</v>
      </c>
      <c r="C244" s="2">
        <f t="shared" si="14"/>
        <v>13</v>
      </c>
      <c r="D244" s="2">
        <f t="shared" si="15"/>
        <v>14</v>
      </c>
      <c r="E244" s="2" t="str">
        <f t="shared" si="16"/>
        <v/>
      </c>
      <c r="F244" s="2"/>
      <c r="G244" s="2"/>
      <c r="K244" t="str">
        <f t="shared" si="17"/>
        <v>case L'': bmcode = 0x01DE; break;</v>
      </c>
    </row>
    <row r="245" spans="2:11" ht="26.5" customHeight="1">
      <c r="B245" s="2">
        <v>223</v>
      </c>
      <c r="C245" s="2">
        <f t="shared" si="14"/>
        <v>13</v>
      </c>
      <c r="D245" s="2">
        <f t="shared" si="15"/>
        <v>15</v>
      </c>
      <c r="E245" s="2" t="str">
        <f t="shared" si="16"/>
        <v/>
      </c>
      <c r="F245" s="2"/>
      <c r="G245" s="2"/>
      <c r="K245" t="str">
        <f t="shared" si="17"/>
        <v>case L'': bmcode = 0x01DF; break;</v>
      </c>
    </row>
    <row r="246" spans="2:11" ht="26.5" customHeight="1">
      <c r="B246" s="2">
        <v>224</v>
      </c>
      <c r="C246" s="2">
        <f t="shared" si="14"/>
        <v>14</v>
      </c>
      <c r="D246" s="2">
        <f t="shared" si="15"/>
        <v>0</v>
      </c>
      <c r="E246" s="2" t="str">
        <f t="shared" si="16"/>
        <v/>
      </c>
      <c r="F246" s="2"/>
      <c r="G246" s="2"/>
      <c r="K246" t="str">
        <f t="shared" si="17"/>
        <v>case L'': bmcode = 0x01E0; break;</v>
      </c>
    </row>
    <row r="247" spans="2:11" ht="26.5" customHeight="1">
      <c r="B247" s="2">
        <v>225</v>
      </c>
      <c r="C247" s="2">
        <f t="shared" si="14"/>
        <v>14</v>
      </c>
      <c r="D247" s="2">
        <f t="shared" si="15"/>
        <v>1</v>
      </c>
      <c r="E247" s="2" t="str">
        <f t="shared" si="16"/>
        <v/>
      </c>
      <c r="F247" s="2"/>
      <c r="G247" s="2"/>
      <c r="K247" t="str">
        <f t="shared" si="17"/>
        <v>case L'': bmcode = 0x01E1; break;</v>
      </c>
    </row>
    <row r="248" spans="2:11" ht="26.5" customHeight="1">
      <c r="B248" s="2">
        <v>226</v>
      </c>
      <c r="C248" s="2">
        <f t="shared" si="14"/>
        <v>14</v>
      </c>
      <c r="D248" s="2">
        <f t="shared" si="15"/>
        <v>2</v>
      </c>
      <c r="E248" s="2" t="str">
        <f t="shared" si="16"/>
        <v/>
      </c>
      <c r="F248" s="2"/>
      <c r="G248" s="2"/>
      <c r="K248" t="str">
        <f t="shared" si="17"/>
        <v>case L'': bmcode = 0x01E2; break;</v>
      </c>
    </row>
    <row r="249" spans="2:11" ht="26.5" customHeight="1">
      <c r="B249" s="2">
        <v>227</v>
      </c>
      <c r="C249" s="2">
        <f t="shared" si="14"/>
        <v>14</v>
      </c>
      <c r="D249" s="2">
        <f t="shared" si="15"/>
        <v>3</v>
      </c>
      <c r="E249" s="2" t="str">
        <f t="shared" si="16"/>
        <v/>
      </c>
      <c r="F249" s="2"/>
      <c r="G249" s="2"/>
      <c r="K249" t="str">
        <f t="shared" si="17"/>
        <v>case L'': bmcode = 0x01E3; break;</v>
      </c>
    </row>
    <row r="250" spans="2:11" ht="26.5" customHeight="1">
      <c r="B250" s="2">
        <v>228</v>
      </c>
      <c r="C250" s="2">
        <f t="shared" si="14"/>
        <v>14</v>
      </c>
      <c r="D250" s="2">
        <f t="shared" si="15"/>
        <v>4</v>
      </c>
      <c r="E250" s="2" t="str">
        <f t="shared" si="16"/>
        <v/>
      </c>
      <c r="F250" s="2"/>
      <c r="G250" s="2"/>
      <c r="K250" t="str">
        <f t="shared" si="17"/>
        <v>case L'': bmcode = 0x01E4; break;</v>
      </c>
    </row>
    <row r="251" spans="2:11" ht="26.5" customHeight="1">
      <c r="B251" s="2">
        <v>229</v>
      </c>
      <c r="C251" s="2">
        <f t="shared" si="14"/>
        <v>14</v>
      </c>
      <c r="D251" s="2">
        <f t="shared" si="15"/>
        <v>5</v>
      </c>
      <c r="E251" s="2" t="str">
        <f t="shared" si="16"/>
        <v/>
      </c>
      <c r="F251" s="2"/>
      <c r="G251" s="2"/>
      <c r="K251" t="str">
        <f t="shared" si="17"/>
        <v>case L'': bmcode = 0x01E5; break;</v>
      </c>
    </row>
    <row r="252" spans="2:11" ht="26.5" customHeight="1">
      <c r="B252" s="2">
        <v>230</v>
      </c>
      <c r="C252" s="2">
        <f t="shared" si="14"/>
        <v>14</v>
      </c>
      <c r="D252" s="2">
        <f t="shared" si="15"/>
        <v>6</v>
      </c>
      <c r="E252" s="2" t="str">
        <f t="shared" si="16"/>
        <v/>
      </c>
      <c r="F252" s="2"/>
      <c r="G252" s="2"/>
      <c r="K252" t="str">
        <f t="shared" si="17"/>
        <v>case L'': bmcode = 0x01E6; break;</v>
      </c>
    </row>
    <row r="253" spans="2:11" ht="26.5" customHeight="1">
      <c r="B253" s="2">
        <v>231</v>
      </c>
      <c r="C253" s="2">
        <f t="shared" si="14"/>
        <v>14</v>
      </c>
      <c r="D253" s="2">
        <f t="shared" si="15"/>
        <v>7</v>
      </c>
      <c r="E253" s="2" t="str">
        <f t="shared" si="16"/>
        <v/>
      </c>
      <c r="F253" s="2"/>
      <c r="G253" s="2"/>
      <c r="K253" t="str">
        <f t="shared" si="17"/>
        <v>case L'': bmcode = 0x01E7; break;</v>
      </c>
    </row>
    <row r="254" spans="2:11" ht="26.5" customHeight="1">
      <c r="B254" s="2">
        <v>232</v>
      </c>
      <c r="C254" s="2">
        <f t="shared" si="14"/>
        <v>14</v>
      </c>
      <c r="D254" s="2">
        <f t="shared" si="15"/>
        <v>8</v>
      </c>
      <c r="E254" s="2" t="str">
        <f t="shared" si="16"/>
        <v/>
      </c>
      <c r="F254" s="2"/>
      <c r="G254" s="2"/>
      <c r="K254" t="str">
        <f t="shared" si="17"/>
        <v>case L'': bmcode = 0x01E8; break;</v>
      </c>
    </row>
    <row r="255" spans="2:11" ht="26.5" customHeight="1">
      <c r="B255" s="2">
        <v>233</v>
      </c>
      <c r="C255" s="2">
        <f t="shared" si="14"/>
        <v>14</v>
      </c>
      <c r="D255" s="2">
        <f t="shared" si="15"/>
        <v>9</v>
      </c>
      <c r="E255" s="2" t="str">
        <f t="shared" si="16"/>
        <v/>
      </c>
      <c r="F255" s="2"/>
      <c r="G255" s="2"/>
      <c r="K255" t="str">
        <f t="shared" si="17"/>
        <v>case L'': bmcode = 0x01E9; break;</v>
      </c>
    </row>
    <row r="256" spans="2:11" ht="26.5" customHeight="1">
      <c r="B256" s="2">
        <v>234</v>
      </c>
      <c r="C256" s="2">
        <f t="shared" si="14"/>
        <v>14</v>
      </c>
      <c r="D256" s="2">
        <f t="shared" si="15"/>
        <v>10</v>
      </c>
      <c r="E256" s="2" t="str">
        <f t="shared" si="16"/>
        <v/>
      </c>
      <c r="F256" s="2"/>
      <c r="G256" s="2"/>
      <c r="K256" t="str">
        <f t="shared" si="17"/>
        <v>case L'': bmcode = 0x01EA; break;</v>
      </c>
    </row>
    <row r="257" spans="2:11" ht="26.5" customHeight="1">
      <c r="B257" s="2">
        <v>235</v>
      </c>
      <c r="C257" s="2">
        <f t="shared" si="14"/>
        <v>14</v>
      </c>
      <c r="D257" s="2">
        <f t="shared" si="15"/>
        <v>11</v>
      </c>
      <c r="E257" s="2" t="str">
        <f t="shared" si="16"/>
        <v/>
      </c>
      <c r="F257" s="2"/>
      <c r="G257" s="2"/>
      <c r="K257" t="str">
        <f t="shared" si="17"/>
        <v>case L'': bmcode = 0x01EB; break;</v>
      </c>
    </row>
    <row r="258" spans="2:11" ht="26.5" customHeight="1">
      <c r="B258" s="2">
        <v>236</v>
      </c>
      <c r="C258" s="2">
        <f t="shared" si="14"/>
        <v>14</v>
      </c>
      <c r="D258" s="2">
        <f t="shared" si="15"/>
        <v>12</v>
      </c>
      <c r="E258" s="2" t="str">
        <f t="shared" si="16"/>
        <v/>
      </c>
      <c r="F258" s="2"/>
      <c r="G258" s="2"/>
      <c r="K258" t="str">
        <f t="shared" si="17"/>
        <v>case L'': bmcode = 0x01EC; break;</v>
      </c>
    </row>
    <row r="259" spans="2:11" ht="26.5" customHeight="1">
      <c r="B259" s="2">
        <v>237</v>
      </c>
      <c r="C259" s="2">
        <f t="shared" si="14"/>
        <v>14</v>
      </c>
      <c r="D259" s="2">
        <f t="shared" si="15"/>
        <v>13</v>
      </c>
      <c r="E259" s="2" t="str">
        <f t="shared" si="16"/>
        <v/>
      </c>
      <c r="F259" s="2"/>
      <c r="G259" s="2"/>
      <c r="K259" t="str">
        <f t="shared" si="17"/>
        <v>case L'': bmcode = 0x01ED; break;</v>
      </c>
    </row>
    <row r="260" spans="2:11" ht="26.5" customHeight="1">
      <c r="B260" s="2">
        <v>238</v>
      </c>
      <c r="C260" s="2">
        <f t="shared" si="14"/>
        <v>14</v>
      </c>
      <c r="D260" s="2">
        <f t="shared" si="15"/>
        <v>14</v>
      </c>
      <c r="E260" s="2" t="str">
        <f t="shared" si="16"/>
        <v/>
      </c>
      <c r="F260" s="2"/>
      <c r="G260" s="2"/>
      <c r="K260" t="str">
        <f t="shared" si="17"/>
        <v>case L'': bmcode = 0x01EE; break;</v>
      </c>
    </row>
    <row r="261" spans="2:11" ht="26.5" customHeight="1">
      <c r="B261" s="2">
        <v>239</v>
      </c>
      <c r="C261" s="2">
        <f t="shared" si="14"/>
        <v>14</v>
      </c>
      <c r="D261" s="2">
        <f t="shared" si="15"/>
        <v>15</v>
      </c>
      <c r="E261" s="2" t="str">
        <f t="shared" si="16"/>
        <v/>
      </c>
      <c r="F261" s="2"/>
      <c r="G261" s="2"/>
      <c r="K261" t="str">
        <f t="shared" si="17"/>
        <v>case L'': bmcode = 0x01EF; break;</v>
      </c>
    </row>
    <row r="262" spans="2:11" ht="26.5" customHeight="1">
      <c r="B262" s="2">
        <v>240</v>
      </c>
      <c r="C262" s="2">
        <f t="shared" si="14"/>
        <v>15</v>
      </c>
      <c r="D262" s="2">
        <f t="shared" si="15"/>
        <v>0</v>
      </c>
      <c r="E262" s="2" t="str">
        <f t="shared" si="16"/>
        <v/>
      </c>
      <c r="F262" s="2"/>
      <c r="G262" s="2"/>
      <c r="K262" t="str">
        <f t="shared" si="17"/>
        <v>case L'': bmcode = 0x01F0; break;</v>
      </c>
    </row>
    <row r="263" spans="2:11" ht="26.5" customHeight="1">
      <c r="B263" s="2">
        <v>241</v>
      </c>
      <c r="C263" s="2">
        <f t="shared" si="14"/>
        <v>15</v>
      </c>
      <c r="D263" s="2">
        <f t="shared" si="15"/>
        <v>1</v>
      </c>
      <c r="E263" s="2" t="str">
        <f t="shared" si="16"/>
        <v/>
      </c>
      <c r="F263" s="2"/>
      <c r="G263" s="2"/>
      <c r="K263" t="str">
        <f t="shared" si="17"/>
        <v>case L'': bmcode = 0x01F1; break;</v>
      </c>
    </row>
    <row r="264" spans="2:11" ht="26.5" customHeight="1">
      <c r="B264" s="2">
        <v>242</v>
      </c>
      <c r="C264" s="2">
        <f t="shared" si="14"/>
        <v>15</v>
      </c>
      <c r="D264" s="2">
        <f t="shared" si="15"/>
        <v>2</v>
      </c>
      <c r="E264" s="2" t="str">
        <f t="shared" si="16"/>
        <v/>
      </c>
      <c r="F264" s="2"/>
      <c r="G264" s="2"/>
      <c r="K264" t="str">
        <f t="shared" si="17"/>
        <v>case L'': bmcode = 0x01F2; break;</v>
      </c>
    </row>
    <row r="265" spans="2:11" ht="26.5" customHeight="1">
      <c r="B265" s="2">
        <v>243</v>
      </c>
      <c r="C265" s="2">
        <f t="shared" si="14"/>
        <v>15</v>
      </c>
      <c r="D265" s="2">
        <f t="shared" si="15"/>
        <v>3</v>
      </c>
      <c r="E265" s="2" t="str">
        <f t="shared" si="16"/>
        <v/>
      </c>
      <c r="F265" s="2"/>
      <c r="G265" s="2"/>
      <c r="K265" t="str">
        <f t="shared" si="17"/>
        <v>case L'': bmcode = 0x01F3; break;</v>
      </c>
    </row>
    <row r="266" spans="2:11" ht="26.5" customHeight="1">
      <c r="B266" s="2">
        <v>244</v>
      </c>
      <c r="C266" s="2">
        <f t="shared" si="14"/>
        <v>15</v>
      </c>
      <c r="D266" s="2">
        <f t="shared" si="15"/>
        <v>4</v>
      </c>
      <c r="E266" s="2" t="str">
        <f t="shared" si="16"/>
        <v/>
      </c>
      <c r="F266" s="2"/>
      <c r="G266" s="2"/>
      <c r="K266" t="str">
        <f t="shared" si="17"/>
        <v>case L'': bmcode = 0x01F4; break;</v>
      </c>
    </row>
    <row r="267" spans="2:11" ht="26.5" customHeight="1">
      <c r="B267" s="2">
        <v>245</v>
      </c>
      <c r="C267" s="2">
        <f t="shared" si="14"/>
        <v>15</v>
      </c>
      <c r="D267" s="2">
        <f t="shared" si="15"/>
        <v>5</v>
      </c>
      <c r="E267" s="2" t="str">
        <f t="shared" si="16"/>
        <v/>
      </c>
      <c r="F267" s="2"/>
      <c r="G267" s="2"/>
      <c r="K267" t="str">
        <f t="shared" si="17"/>
        <v>case L'': bmcode = 0x01F5; break;</v>
      </c>
    </row>
    <row r="268" spans="2:11" ht="26.5" customHeight="1">
      <c r="B268" s="2">
        <v>246</v>
      </c>
      <c r="C268" s="2">
        <f t="shared" si="14"/>
        <v>15</v>
      </c>
      <c r="D268" s="2">
        <f t="shared" si="15"/>
        <v>6</v>
      </c>
      <c r="E268" s="2" t="str">
        <f t="shared" si="16"/>
        <v/>
      </c>
      <c r="F268" s="2"/>
      <c r="G268" s="2"/>
      <c r="K268" t="str">
        <f t="shared" si="17"/>
        <v>case L'': bmcode = 0x01F6; break;</v>
      </c>
    </row>
    <row r="269" spans="2:11" ht="26.5" customHeight="1">
      <c r="B269" s="2">
        <v>247</v>
      </c>
      <c r="C269" s="2">
        <f t="shared" si="14"/>
        <v>15</v>
      </c>
      <c r="D269" s="2">
        <f t="shared" si="15"/>
        <v>7</v>
      </c>
      <c r="E269" s="2" t="str">
        <f t="shared" si="16"/>
        <v/>
      </c>
      <c r="F269" s="2"/>
      <c r="G269" s="2"/>
      <c r="K269" t="str">
        <f t="shared" si="17"/>
        <v>case L'': bmcode = 0x01F7; break;</v>
      </c>
    </row>
    <row r="270" spans="2:11" ht="26.5" customHeight="1">
      <c r="B270" s="2">
        <v>248</v>
      </c>
      <c r="C270" s="2">
        <f t="shared" si="14"/>
        <v>15</v>
      </c>
      <c r="D270" s="2">
        <f t="shared" si="15"/>
        <v>8</v>
      </c>
      <c r="E270" s="2" t="str">
        <f t="shared" si="16"/>
        <v/>
      </c>
      <c r="F270" s="2"/>
      <c r="G270" s="2"/>
      <c r="K270" t="str">
        <f t="shared" si="17"/>
        <v>case L'': bmcode = 0x01F8; break;</v>
      </c>
    </row>
    <row r="271" spans="2:11" ht="26.5" customHeight="1">
      <c r="B271" s="2">
        <v>249</v>
      </c>
      <c r="C271" s="2">
        <f t="shared" si="14"/>
        <v>15</v>
      </c>
      <c r="D271" s="2">
        <f t="shared" si="15"/>
        <v>9</v>
      </c>
      <c r="E271" s="2" t="str">
        <f t="shared" si="16"/>
        <v/>
      </c>
      <c r="F271" s="2"/>
      <c r="G271" s="2"/>
      <c r="K271" t="str">
        <f t="shared" si="17"/>
        <v>case L'': bmcode = 0x01F9; break;</v>
      </c>
    </row>
    <row r="272" spans="2:11" ht="26.5" customHeight="1">
      <c r="B272" s="2">
        <v>250</v>
      </c>
      <c r="C272" s="2">
        <f t="shared" si="14"/>
        <v>15</v>
      </c>
      <c r="D272" s="2">
        <f t="shared" si="15"/>
        <v>10</v>
      </c>
      <c r="E272" s="2" t="str">
        <f t="shared" si="16"/>
        <v/>
      </c>
      <c r="F272" s="2"/>
      <c r="G272" s="2"/>
      <c r="K272" t="str">
        <f t="shared" si="17"/>
        <v>case L'': bmcode = 0x01FA; break;</v>
      </c>
    </row>
    <row r="273" spans="2:11" ht="26.5" customHeight="1">
      <c r="B273" s="2">
        <v>251</v>
      </c>
      <c r="C273" s="2">
        <f t="shared" si="14"/>
        <v>15</v>
      </c>
      <c r="D273" s="2">
        <f t="shared" si="15"/>
        <v>11</v>
      </c>
      <c r="E273" s="2" t="str">
        <f t="shared" si="16"/>
        <v/>
      </c>
      <c r="F273" s="2"/>
      <c r="G273" s="2"/>
      <c r="K273" t="str">
        <f t="shared" si="17"/>
        <v>case L'': bmcode = 0x01FB; break;</v>
      </c>
    </row>
    <row r="274" spans="2:11" ht="26.5" customHeight="1">
      <c r="B274" s="2">
        <v>252</v>
      </c>
      <c r="C274" s="2">
        <f t="shared" si="14"/>
        <v>15</v>
      </c>
      <c r="D274" s="2">
        <f t="shared" si="15"/>
        <v>12</v>
      </c>
      <c r="E274" s="2" t="str">
        <f t="shared" si="16"/>
        <v/>
      </c>
      <c r="F274" s="2"/>
      <c r="G274" s="2"/>
      <c r="K274" t="str">
        <f t="shared" si="17"/>
        <v>case L'': bmcode = 0x01FC; break;</v>
      </c>
    </row>
    <row r="275" spans="2:11" ht="26.5" customHeight="1">
      <c r="B275" s="2">
        <v>253</v>
      </c>
      <c r="C275" s="2">
        <f t="shared" si="14"/>
        <v>15</v>
      </c>
      <c r="D275" s="2">
        <f t="shared" si="15"/>
        <v>13</v>
      </c>
      <c r="E275" s="2" t="str">
        <f t="shared" si="16"/>
        <v/>
      </c>
      <c r="F275" s="2"/>
      <c r="G275" s="2"/>
      <c r="K275" t="str">
        <f t="shared" si="17"/>
        <v>case L'': bmcode = 0x01FD; break;</v>
      </c>
    </row>
    <row r="276" spans="2:11" ht="26.5" customHeight="1">
      <c r="B276" s="2">
        <v>254</v>
      </c>
      <c r="C276" s="2">
        <f t="shared" si="14"/>
        <v>15</v>
      </c>
      <c r="D276" s="2">
        <f t="shared" si="15"/>
        <v>14</v>
      </c>
      <c r="E276" s="2" t="str">
        <f t="shared" si="16"/>
        <v/>
      </c>
      <c r="F276" s="2"/>
      <c r="G276" s="2"/>
      <c r="K276" t="str">
        <f t="shared" si="17"/>
        <v>case L'': bmcode = 0x01FE; break;</v>
      </c>
    </row>
    <row r="277" spans="2:11" ht="26.5" customHeight="1">
      <c r="B277" s="2">
        <v>255</v>
      </c>
      <c r="C277" s="2">
        <f t="shared" si="14"/>
        <v>15</v>
      </c>
      <c r="D277" s="2">
        <f t="shared" si="15"/>
        <v>15</v>
      </c>
      <c r="E277" s="2" t="str">
        <f t="shared" si="16"/>
        <v/>
      </c>
      <c r="F277" s="2"/>
      <c r="G277" s="2"/>
      <c r="K277" t="str">
        <f t="shared" si="17"/>
        <v>case L'': bmcode = 0x01FF; break;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555C-AFA1-40C4-8679-5B93C38FA477}">
  <dimension ref="B2:AI277"/>
  <sheetViews>
    <sheetView tabSelected="1" workbookViewId="0">
      <selection activeCell="K20" sqref="K20"/>
    </sheetView>
  </sheetViews>
  <sheetFormatPr defaultColWidth="5" defaultRowHeight="26.5" customHeight="1"/>
  <sheetData>
    <row r="2" spans="2:35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5"/>
      <c r="T2" s="6" t="s">
        <v>189</v>
      </c>
    </row>
    <row r="3" spans="2:35" ht="26.5" customHeight="1">
      <c r="B3" s="1">
        <v>0</v>
      </c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T3" t="str">
        <f>"L'"&amp;C3&amp;"',"</f>
        <v>L'',</v>
      </c>
      <c r="U3" t="str">
        <f t="shared" ref="U3:AI18" si="0">"L'"&amp;D3&amp;"',"</f>
        <v>L'',</v>
      </c>
      <c r="V3" t="str">
        <f t="shared" si="0"/>
        <v>L'',</v>
      </c>
      <c r="W3" t="str">
        <f t="shared" si="0"/>
        <v>L'',</v>
      </c>
      <c r="X3" t="str">
        <f t="shared" si="0"/>
        <v>L'',</v>
      </c>
      <c r="Y3" t="str">
        <f t="shared" si="0"/>
        <v>L'',</v>
      </c>
      <c r="Z3" t="str">
        <f t="shared" si="0"/>
        <v>L'',</v>
      </c>
      <c r="AA3" t="str">
        <f t="shared" si="0"/>
        <v>L'',</v>
      </c>
      <c r="AB3" t="str">
        <f t="shared" si="0"/>
        <v>L'',</v>
      </c>
      <c r="AC3" t="str">
        <f t="shared" si="0"/>
        <v>L'',</v>
      </c>
      <c r="AD3" t="str">
        <f t="shared" si="0"/>
        <v>L'',</v>
      </c>
      <c r="AE3" t="str">
        <f t="shared" si="0"/>
        <v>L'',</v>
      </c>
      <c r="AF3" t="str">
        <f t="shared" si="0"/>
        <v>L'',</v>
      </c>
      <c r="AG3" t="str">
        <f t="shared" si="0"/>
        <v>L'',</v>
      </c>
      <c r="AH3" t="str">
        <f t="shared" si="0"/>
        <v>L'',</v>
      </c>
      <c r="AI3" t="str">
        <f t="shared" si="0"/>
        <v>L'',</v>
      </c>
    </row>
    <row r="4" spans="2:35" ht="26.5" customHeight="1">
      <c r="B4" s="1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t="str">
        <f t="shared" ref="T4:T18" si="1">"L'"&amp;C4&amp;"',"</f>
        <v>L'',</v>
      </c>
      <c r="U4" t="str">
        <f t="shared" si="0"/>
        <v>L'',</v>
      </c>
      <c r="V4" t="str">
        <f t="shared" si="0"/>
        <v>L'',</v>
      </c>
      <c r="W4" t="str">
        <f t="shared" si="0"/>
        <v>L'',</v>
      </c>
      <c r="X4" t="str">
        <f t="shared" si="0"/>
        <v>L'',</v>
      </c>
      <c r="Y4" t="str">
        <f t="shared" si="0"/>
        <v>L'',</v>
      </c>
      <c r="Z4" t="str">
        <f t="shared" si="0"/>
        <v>L'',</v>
      </c>
      <c r="AA4" t="str">
        <f t="shared" si="0"/>
        <v>L'',</v>
      </c>
      <c r="AB4" t="str">
        <f t="shared" si="0"/>
        <v>L'',</v>
      </c>
      <c r="AC4" t="str">
        <f t="shared" si="0"/>
        <v>L'',</v>
      </c>
      <c r="AD4" t="str">
        <f t="shared" si="0"/>
        <v>L'',</v>
      </c>
      <c r="AE4" t="str">
        <f t="shared" si="0"/>
        <v>L'',</v>
      </c>
      <c r="AF4" t="str">
        <f t="shared" si="0"/>
        <v>L'',</v>
      </c>
      <c r="AG4" t="str">
        <f t="shared" si="0"/>
        <v>L'',</v>
      </c>
      <c r="AH4" t="str">
        <f t="shared" si="0"/>
        <v>L'',</v>
      </c>
      <c r="AI4" t="str">
        <f t="shared" si="0"/>
        <v>L'',</v>
      </c>
    </row>
    <row r="5" spans="2:35" ht="26.5" customHeight="1">
      <c r="B5" s="1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t="str">
        <f t="shared" si="1"/>
        <v>L'',</v>
      </c>
      <c r="U5" t="str">
        <f t="shared" si="0"/>
        <v>L'',</v>
      </c>
      <c r="V5" t="str">
        <f t="shared" si="0"/>
        <v>L'',</v>
      </c>
      <c r="W5" t="str">
        <f t="shared" si="0"/>
        <v>L'',</v>
      </c>
      <c r="X5" t="str">
        <f t="shared" si="0"/>
        <v>L'',</v>
      </c>
      <c r="Y5" t="str">
        <f t="shared" si="0"/>
        <v>L'',</v>
      </c>
      <c r="Z5" t="str">
        <f t="shared" si="0"/>
        <v>L'',</v>
      </c>
      <c r="AA5" t="str">
        <f t="shared" si="0"/>
        <v>L'',</v>
      </c>
      <c r="AB5" t="str">
        <f t="shared" si="0"/>
        <v>L'',</v>
      </c>
      <c r="AC5" t="str">
        <f t="shared" si="0"/>
        <v>L'',</v>
      </c>
      <c r="AD5" t="str">
        <f t="shared" si="0"/>
        <v>L'',</v>
      </c>
      <c r="AE5" t="str">
        <f t="shared" si="0"/>
        <v>L'',</v>
      </c>
      <c r="AF5" t="str">
        <f t="shared" si="0"/>
        <v>L'',</v>
      </c>
      <c r="AG5" t="str">
        <f t="shared" si="0"/>
        <v>L'',</v>
      </c>
      <c r="AH5" t="str">
        <f t="shared" si="0"/>
        <v>L'',</v>
      </c>
      <c r="AI5" t="str">
        <f t="shared" si="0"/>
        <v>L'',</v>
      </c>
    </row>
    <row r="6" spans="2:35" ht="26.5" customHeight="1">
      <c r="B6" s="1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t="str">
        <f t="shared" si="1"/>
        <v>L'',</v>
      </c>
      <c r="U6" t="str">
        <f t="shared" si="0"/>
        <v>L'',</v>
      </c>
      <c r="V6" t="str">
        <f t="shared" si="0"/>
        <v>L'',</v>
      </c>
      <c r="W6" t="str">
        <f t="shared" si="0"/>
        <v>L'',</v>
      </c>
      <c r="X6" t="str">
        <f t="shared" si="0"/>
        <v>L'',</v>
      </c>
      <c r="Y6" t="str">
        <f t="shared" si="0"/>
        <v>L'',</v>
      </c>
      <c r="Z6" t="str">
        <f t="shared" si="0"/>
        <v>L'',</v>
      </c>
      <c r="AA6" t="str">
        <f t="shared" si="0"/>
        <v>L'',</v>
      </c>
      <c r="AB6" t="str">
        <f t="shared" si="0"/>
        <v>L'',</v>
      </c>
      <c r="AC6" t="str">
        <f t="shared" si="0"/>
        <v>L'',</v>
      </c>
      <c r="AD6" t="str">
        <f t="shared" si="0"/>
        <v>L'',</v>
      </c>
      <c r="AE6" t="str">
        <f t="shared" si="0"/>
        <v>L'',</v>
      </c>
      <c r="AF6" t="str">
        <f t="shared" si="0"/>
        <v>L'',</v>
      </c>
      <c r="AG6" t="str">
        <f t="shared" si="0"/>
        <v>L'',</v>
      </c>
      <c r="AH6" t="str">
        <f t="shared" si="0"/>
        <v>L'',</v>
      </c>
      <c r="AI6" t="str">
        <f t="shared" si="0"/>
        <v>L'',</v>
      </c>
    </row>
    <row r="7" spans="2:35" ht="26.5" customHeight="1">
      <c r="B7" s="1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t="str">
        <f t="shared" si="1"/>
        <v>L'',</v>
      </c>
      <c r="U7" t="str">
        <f t="shared" si="0"/>
        <v>L'',</v>
      </c>
      <c r="V7" t="str">
        <f t="shared" si="0"/>
        <v>L'',</v>
      </c>
      <c r="W7" t="str">
        <f t="shared" si="0"/>
        <v>L'',</v>
      </c>
      <c r="X7" t="str">
        <f t="shared" si="0"/>
        <v>L'',</v>
      </c>
      <c r="Y7" t="str">
        <f t="shared" si="0"/>
        <v>L'',</v>
      </c>
      <c r="Z7" t="str">
        <f t="shared" si="0"/>
        <v>L'',</v>
      </c>
      <c r="AA7" t="str">
        <f t="shared" si="0"/>
        <v>L'',</v>
      </c>
      <c r="AB7" t="str">
        <f t="shared" si="0"/>
        <v>L'',</v>
      </c>
      <c r="AC7" t="str">
        <f t="shared" si="0"/>
        <v>L'',</v>
      </c>
      <c r="AD7" t="str">
        <f t="shared" si="0"/>
        <v>L'',</v>
      </c>
      <c r="AE7" t="str">
        <f t="shared" si="0"/>
        <v>L'',</v>
      </c>
      <c r="AF7" t="str">
        <f t="shared" si="0"/>
        <v>L'',</v>
      </c>
      <c r="AG7" t="str">
        <f t="shared" si="0"/>
        <v>L'',</v>
      </c>
      <c r="AH7" t="str">
        <f t="shared" si="0"/>
        <v>L'',</v>
      </c>
      <c r="AI7" t="str">
        <f t="shared" si="0"/>
        <v>L'',</v>
      </c>
    </row>
    <row r="8" spans="2:35" ht="26.5" customHeight="1">
      <c r="B8" s="1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3"/>
      <c r="T8" t="str">
        <f t="shared" si="1"/>
        <v>L'',</v>
      </c>
      <c r="U8" t="str">
        <f t="shared" si="0"/>
        <v>L'',</v>
      </c>
      <c r="V8" t="str">
        <f t="shared" si="0"/>
        <v>L'',</v>
      </c>
      <c r="W8" t="str">
        <f t="shared" si="0"/>
        <v>L'',</v>
      </c>
      <c r="X8" t="str">
        <f t="shared" si="0"/>
        <v>L'',</v>
      </c>
      <c r="Y8" t="str">
        <f t="shared" si="0"/>
        <v>L'',</v>
      </c>
      <c r="Z8" t="str">
        <f t="shared" si="0"/>
        <v>L'',</v>
      </c>
      <c r="AA8" t="str">
        <f t="shared" si="0"/>
        <v>L'',</v>
      </c>
      <c r="AB8" t="str">
        <f t="shared" si="0"/>
        <v>L'',</v>
      </c>
      <c r="AC8" t="str">
        <f t="shared" si="0"/>
        <v>L'',</v>
      </c>
      <c r="AD8" t="str">
        <f t="shared" si="0"/>
        <v>L'',</v>
      </c>
      <c r="AE8" t="str">
        <f t="shared" si="0"/>
        <v>L'',</v>
      </c>
      <c r="AF8" t="str">
        <f t="shared" si="0"/>
        <v>L'',</v>
      </c>
      <c r="AG8" t="str">
        <f t="shared" si="0"/>
        <v>L'',</v>
      </c>
      <c r="AH8" t="str">
        <f t="shared" si="0"/>
        <v>L'',</v>
      </c>
      <c r="AI8" t="str">
        <f t="shared" si="0"/>
        <v>L'',</v>
      </c>
    </row>
    <row r="9" spans="2:35" ht="26.5" customHeight="1">
      <c r="B9" s="1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t="str">
        <f t="shared" si="1"/>
        <v>L'',</v>
      </c>
      <c r="U9" t="str">
        <f t="shared" si="0"/>
        <v>L'',</v>
      </c>
      <c r="V9" t="str">
        <f t="shared" si="0"/>
        <v>L'',</v>
      </c>
      <c r="W9" t="str">
        <f t="shared" si="0"/>
        <v>L'',</v>
      </c>
      <c r="X9" t="str">
        <f t="shared" si="0"/>
        <v>L'',</v>
      </c>
      <c r="Y9" t="str">
        <f t="shared" si="0"/>
        <v>L'',</v>
      </c>
      <c r="Z9" t="str">
        <f t="shared" si="0"/>
        <v>L'',</v>
      </c>
      <c r="AA9" t="str">
        <f t="shared" si="0"/>
        <v>L'',</v>
      </c>
      <c r="AB9" t="str">
        <f t="shared" si="0"/>
        <v>L'',</v>
      </c>
      <c r="AC9" t="str">
        <f t="shared" si="0"/>
        <v>L'',</v>
      </c>
      <c r="AD9" t="str">
        <f t="shared" si="0"/>
        <v>L'',</v>
      </c>
      <c r="AE9" t="str">
        <f t="shared" si="0"/>
        <v>L'',</v>
      </c>
      <c r="AF9" t="str">
        <f t="shared" si="0"/>
        <v>L'',</v>
      </c>
      <c r="AG9" t="str">
        <f t="shared" si="0"/>
        <v>L'',</v>
      </c>
      <c r="AH9" t="str">
        <f t="shared" si="0"/>
        <v>L'',</v>
      </c>
      <c r="AI9" t="str">
        <f t="shared" si="0"/>
        <v>L'',</v>
      </c>
    </row>
    <row r="10" spans="2:35" ht="26.5" customHeight="1">
      <c r="B10" s="1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t="str">
        <f t="shared" si="1"/>
        <v>L'',</v>
      </c>
      <c r="U10" t="str">
        <f t="shared" si="0"/>
        <v>L'',</v>
      </c>
      <c r="V10" t="str">
        <f t="shared" si="0"/>
        <v>L'',</v>
      </c>
      <c r="W10" t="str">
        <f t="shared" si="0"/>
        <v>L'',</v>
      </c>
      <c r="X10" t="str">
        <f t="shared" si="0"/>
        <v>L'',</v>
      </c>
      <c r="Y10" t="str">
        <f t="shared" si="0"/>
        <v>L'',</v>
      </c>
      <c r="Z10" t="str">
        <f t="shared" si="0"/>
        <v>L'',</v>
      </c>
      <c r="AA10" t="str">
        <f t="shared" si="0"/>
        <v>L'',</v>
      </c>
      <c r="AB10" t="str">
        <f t="shared" si="0"/>
        <v>L'',</v>
      </c>
      <c r="AC10" t="str">
        <f t="shared" si="0"/>
        <v>L'',</v>
      </c>
      <c r="AD10" t="str">
        <f t="shared" si="0"/>
        <v>L'',</v>
      </c>
      <c r="AE10" t="str">
        <f t="shared" si="0"/>
        <v>L'',</v>
      </c>
      <c r="AF10" t="str">
        <f t="shared" si="0"/>
        <v>L'',</v>
      </c>
      <c r="AG10" t="str">
        <f t="shared" si="0"/>
        <v>L'',</v>
      </c>
      <c r="AH10" t="str">
        <f t="shared" si="0"/>
        <v>L'',</v>
      </c>
      <c r="AI10" t="str">
        <f t="shared" si="0"/>
        <v>L'',</v>
      </c>
    </row>
    <row r="11" spans="2:35" ht="26.5" customHeight="1">
      <c r="B11" s="1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t="str">
        <f t="shared" si="1"/>
        <v>L'',</v>
      </c>
      <c r="U11" t="str">
        <f t="shared" si="0"/>
        <v>L'',</v>
      </c>
      <c r="V11" t="str">
        <f t="shared" si="0"/>
        <v>L'',</v>
      </c>
      <c r="W11" t="str">
        <f t="shared" si="0"/>
        <v>L'',</v>
      </c>
      <c r="X11" t="str">
        <f t="shared" si="0"/>
        <v>L'',</v>
      </c>
      <c r="Y11" t="str">
        <f t="shared" si="0"/>
        <v>L'',</v>
      </c>
      <c r="Z11" t="str">
        <f t="shared" si="0"/>
        <v>L'',</v>
      </c>
      <c r="AA11" t="str">
        <f t="shared" si="0"/>
        <v>L'',</v>
      </c>
      <c r="AB11" t="str">
        <f t="shared" si="0"/>
        <v>L'',</v>
      </c>
      <c r="AC11" t="str">
        <f t="shared" si="0"/>
        <v>L'',</v>
      </c>
      <c r="AD11" t="str">
        <f t="shared" si="0"/>
        <v>L'',</v>
      </c>
      <c r="AE11" t="str">
        <f t="shared" si="0"/>
        <v>L'',</v>
      </c>
      <c r="AF11" t="str">
        <f t="shared" si="0"/>
        <v>L'',</v>
      </c>
      <c r="AG11" t="str">
        <f t="shared" si="0"/>
        <v>L'',</v>
      </c>
      <c r="AH11" t="str">
        <f t="shared" si="0"/>
        <v>L'',</v>
      </c>
      <c r="AI11" t="str">
        <f t="shared" si="0"/>
        <v>L'',</v>
      </c>
    </row>
    <row r="12" spans="2:35" ht="26.5" customHeight="1">
      <c r="B12" s="1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t="str">
        <f t="shared" si="1"/>
        <v>L'',</v>
      </c>
      <c r="U12" t="str">
        <f t="shared" si="0"/>
        <v>L'',</v>
      </c>
      <c r="V12" t="str">
        <f t="shared" si="0"/>
        <v>L'',</v>
      </c>
      <c r="W12" t="str">
        <f t="shared" si="0"/>
        <v>L'',</v>
      </c>
      <c r="X12" t="str">
        <f t="shared" si="0"/>
        <v>L'',</v>
      </c>
      <c r="Y12" t="str">
        <f t="shared" si="0"/>
        <v>L'',</v>
      </c>
      <c r="Z12" t="str">
        <f t="shared" si="0"/>
        <v>L'',</v>
      </c>
      <c r="AA12" t="str">
        <f t="shared" si="0"/>
        <v>L'',</v>
      </c>
      <c r="AB12" t="str">
        <f t="shared" si="0"/>
        <v>L'',</v>
      </c>
      <c r="AC12" t="str">
        <f t="shared" si="0"/>
        <v>L'',</v>
      </c>
      <c r="AD12" t="str">
        <f t="shared" si="0"/>
        <v>L'',</v>
      </c>
      <c r="AE12" t="str">
        <f t="shared" si="0"/>
        <v>L'',</v>
      </c>
      <c r="AF12" t="str">
        <f t="shared" si="0"/>
        <v>L'',</v>
      </c>
      <c r="AG12" t="str">
        <f t="shared" si="0"/>
        <v>L'',</v>
      </c>
      <c r="AH12" t="str">
        <f t="shared" si="0"/>
        <v>L'',</v>
      </c>
      <c r="AI12" t="str">
        <f t="shared" si="0"/>
        <v>L'',</v>
      </c>
    </row>
    <row r="13" spans="2:35" ht="26.5" customHeight="1">
      <c r="B13" s="1" t="s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t="str">
        <f t="shared" si="1"/>
        <v>L'',</v>
      </c>
      <c r="U13" t="str">
        <f t="shared" si="0"/>
        <v>L'',</v>
      </c>
      <c r="V13" t="str">
        <f t="shared" si="0"/>
        <v>L'',</v>
      </c>
      <c r="W13" t="str">
        <f t="shared" si="0"/>
        <v>L'',</v>
      </c>
      <c r="X13" t="str">
        <f t="shared" si="0"/>
        <v>L'',</v>
      </c>
      <c r="Y13" t="str">
        <f t="shared" si="0"/>
        <v>L'',</v>
      </c>
      <c r="Z13" t="str">
        <f t="shared" si="0"/>
        <v>L'',</v>
      </c>
      <c r="AA13" t="str">
        <f t="shared" si="0"/>
        <v>L'',</v>
      </c>
      <c r="AB13" t="str">
        <f t="shared" si="0"/>
        <v>L'',</v>
      </c>
      <c r="AC13" t="str">
        <f t="shared" si="0"/>
        <v>L'',</v>
      </c>
      <c r="AD13" t="str">
        <f t="shared" si="0"/>
        <v>L'',</v>
      </c>
      <c r="AE13" t="str">
        <f t="shared" si="0"/>
        <v>L'',</v>
      </c>
      <c r="AF13" t="str">
        <f t="shared" si="0"/>
        <v>L'',</v>
      </c>
      <c r="AG13" t="str">
        <f t="shared" si="0"/>
        <v>L'',</v>
      </c>
      <c r="AH13" t="str">
        <f t="shared" si="0"/>
        <v>L'',</v>
      </c>
      <c r="AI13" t="str">
        <f t="shared" si="0"/>
        <v>L'',</v>
      </c>
    </row>
    <row r="14" spans="2:35" ht="26.5" customHeight="1">
      <c r="B14" s="1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t="str">
        <f t="shared" si="1"/>
        <v>L'',</v>
      </c>
      <c r="U14" t="str">
        <f t="shared" si="0"/>
        <v>L'',</v>
      </c>
      <c r="V14" t="str">
        <f t="shared" si="0"/>
        <v>L'',</v>
      </c>
      <c r="W14" t="str">
        <f t="shared" si="0"/>
        <v>L'',</v>
      </c>
      <c r="X14" t="str">
        <f t="shared" si="0"/>
        <v>L'',</v>
      </c>
      <c r="Y14" t="str">
        <f t="shared" si="0"/>
        <v>L'',</v>
      </c>
      <c r="Z14" t="str">
        <f t="shared" si="0"/>
        <v>L'',</v>
      </c>
      <c r="AA14" t="str">
        <f t="shared" si="0"/>
        <v>L'',</v>
      </c>
      <c r="AB14" t="str">
        <f t="shared" si="0"/>
        <v>L'',</v>
      </c>
      <c r="AC14" t="str">
        <f t="shared" si="0"/>
        <v>L'',</v>
      </c>
      <c r="AD14" t="str">
        <f t="shared" si="0"/>
        <v>L'',</v>
      </c>
      <c r="AE14" t="str">
        <f t="shared" si="0"/>
        <v>L'',</v>
      </c>
      <c r="AF14" t="str">
        <f t="shared" si="0"/>
        <v>L'',</v>
      </c>
      <c r="AG14" t="str">
        <f t="shared" si="0"/>
        <v>L'',</v>
      </c>
      <c r="AH14" t="str">
        <f t="shared" si="0"/>
        <v>L'',</v>
      </c>
      <c r="AI14" t="str">
        <f t="shared" si="0"/>
        <v>L'',</v>
      </c>
    </row>
    <row r="15" spans="2:35" ht="26.5" customHeight="1">
      <c r="B15" s="1" t="s">
        <v>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t="str">
        <f t="shared" si="1"/>
        <v>L'',</v>
      </c>
      <c r="U15" t="str">
        <f t="shared" si="0"/>
        <v>L'',</v>
      </c>
      <c r="V15" t="str">
        <f t="shared" si="0"/>
        <v>L'',</v>
      </c>
      <c r="W15" t="str">
        <f t="shared" si="0"/>
        <v>L'',</v>
      </c>
      <c r="X15" t="str">
        <f t="shared" si="0"/>
        <v>L'',</v>
      </c>
      <c r="Y15" t="str">
        <f t="shared" si="0"/>
        <v>L'',</v>
      </c>
      <c r="Z15" t="str">
        <f t="shared" si="0"/>
        <v>L'',</v>
      </c>
      <c r="AA15" t="str">
        <f t="shared" si="0"/>
        <v>L'',</v>
      </c>
      <c r="AB15" t="str">
        <f t="shared" si="0"/>
        <v>L'',</v>
      </c>
      <c r="AC15" t="str">
        <f t="shared" si="0"/>
        <v>L'',</v>
      </c>
      <c r="AD15" t="str">
        <f t="shared" si="0"/>
        <v>L'',</v>
      </c>
      <c r="AE15" t="str">
        <f t="shared" si="0"/>
        <v>L'',</v>
      </c>
      <c r="AF15" t="str">
        <f t="shared" si="0"/>
        <v>L'',</v>
      </c>
      <c r="AG15" t="str">
        <f t="shared" si="0"/>
        <v>L'',</v>
      </c>
      <c r="AH15" t="str">
        <f t="shared" si="0"/>
        <v>L'',</v>
      </c>
      <c r="AI15" t="str">
        <f t="shared" si="0"/>
        <v>L'',</v>
      </c>
    </row>
    <row r="16" spans="2:35" ht="26.5" customHeight="1">
      <c r="B16" s="1" t="s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t="str">
        <f t="shared" si="1"/>
        <v>L'',</v>
      </c>
      <c r="U16" t="str">
        <f t="shared" si="0"/>
        <v>L'',</v>
      </c>
      <c r="V16" t="str">
        <f t="shared" si="0"/>
        <v>L'',</v>
      </c>
      <c r="W16" t="str">
        <f t="shared" si="0"/>
        <v>L'',</v>
      </c>
      <c r="X16" t="str">
        <f t="shared" si="0"/>
        <v>L'',</v>
      </c>
      <c r="Y16" t="str">
        <f t="shared" si="0"/>
        <v>L'',</v>
      </c>
      <c r="Z16" t="str">
        <f t="shared" si="0"/>
        <v>L'',</v>
      </c>
      <c r="AA16" t="str">
        <f t="shared" si="0"/>
        <v>L'',</v>
      </c>
      <c r="AB16" t="str">
        <f t="shared" si="0"/>
        <v>L'',</v>
      </c>
      <c r="AC16" t="str">
        <f t="shared" si="0"/>
        <v>L'',</v>
      </c>
      <c r="AD16" t="str">
        <f t="shared" si="0"/>
        <v>L'',</v>
      </c>
      <c r="AE16" t="str">
        <f t="shared" si="0"/>
        <v>L'',</v>
      </c>
      <c r="AF16" t="str">
        <f t="shared" si="0"/>
        <v>L'',</v>
      </c>
      <c r="AG16" t="str">
        <f t="shared" si="0"/>
        <v>L'',</v>
      </c>
      <c r="AH16" t="str">
        <f t="shared" si="0"/>
        <v>L'',</v>
      </c>
      <c r="AI16" t="str">
        <f t="shared" si="0"/>
        <v>L'',</v>
      </c>
    </row>
    <row r="17" spans="2:35" ht="26.5" customHeight="1">
      <c r="B17" s="1" t="s">
        <v>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t="str">
        <f t="shared" si="1"/>
        <v>L'',</v>
      </c>
      <c r="U17" t="str">
        <f t="shared" si="0"/>
        <v>L'',</v>
      </c>
      <c r="V17" t="str">
        <f t="shared" si="0"/>
        <v>L'',</v>
      </c>
      <c r="W17" t="str">
        <f t="shared" si="0"/>
        <v>L'',</v>
      </c>
      <c r="X17" t="str">
        <f t="shared" si="0"/>
        <v>L'',</v>
      </c>
      <c r="Y17" t="str">
        <f t="shared" si="0"/>
        <v>L'',</v>
      </c>
      <c r="Z17" t="str">
        <f t="shared" si="0"/>
        <v>L'',</v>
      </c>
      <c r="AA17" t="str">
        <f t="shared" si="0"/>
        <v>L'',</v>
      </c>
      <c r="AB17" t="str">
        <f t="shared" si="0"/>
        <v>L'',</v>
      </c>
      <c r="AC17" t="str">
        <f t="shared" si="0"/>
        <v>L'',</v>
      </c>
      <c r="AD17" t="str">
        <f t="shared" si="0"/>
        <v>L'',</v>
      </c>
      <c r="AE17" t="str">
        <f t="shared" si="0"/>
        <v>L'',</v>
      </c>
      <c r="AF17" t="str">
        <f t="shared" si="0"/>
        <v>L'',</v>
      </c>
      <c r="AG17" t="str">
        <f t="shared" si="0"/>
        <v>L'',</v>
      </c>
      <c r="AH17" t="str">
        <f t="shared" si="0"/>
        <v>L'',</v>
      </c>
      <c r="AI17" t="str">
        <f t="shared" si="0"/>
        <v>L'',</v>
      </c>
    </row>
    <row r="18" spans="2:35" ht="26.5" customHeight="1">
      <c r="B18" s="1" t="s">
        <v>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t="str">
        <f t="shared" si="1"/>
        <v>L'',</v>
      </c>
      <c r="U18" t="str">
        <f t="shared" si="0"/>
        <v>L'',</v>
      </c>
      <c r="V18" t="str">
        <f t="shared" si="0"/>
        <v>L'',</v>
      </c>
      <c r="W18" t="str">
        <f t="shared" si="0"/>
        <v>L'',</v>
      </c>
      <c r="X18" t="str">
        <f t="shared" si="0"/>
        <v>L'',</v>
      </c>
      <c r="Y18" t="str">
        <f t="shared" si="0"/>
        <v>L'',</v>
      </c>
      <c r="Z18" t="str">
        <f t="shared" si="0"/>
        <v>L'',</v>
      </c>
      <c r="AA18" t="str">
        <f t="shared" si="0"/>
        <v>L'',</v>
      </c>
      <c r="AB18" t="str">
        <f t="shared" si="0"/>
        <v>L'',</v>
      </c>
      <c r="AC18" t="str">
        <f t="shared" si="0"/>
        <v>L'',</v>
      </c>
      <c r="AD18" t="str">
        <f t="shared" si="0"/>
        <v>L'',</v>
      </c>
      <c r="AE18" t="str">
        <f t="shared" si="0"/>
        <v>L'',</v>
      </c>
      <c r="AF18" t="str">
        <f t="shared" si="0"/>
        <v>L'',</v>
      </c>
      <c r="AG18" t="str">
        <f t="shared" si="0"/>
        <v>L'',</v>
      </c>
      <c r="AH18" t="str">
        <f t="shared" si="0"/>
        <v>L'',</v>
      </c>
      <c r="AI18" t="str">
        <f t="shared" si="0"/>
        <v>L'',</v>
      </c>
    </row>
    <row r="19" spans="2:35" ht="26.5" customHeight="1">
      <c r="C19" s="2"/>
      <c r="D19" s="2"/>
      <c r="E19" s="2"/>
      <c r="F19" s="2"/>
      <c r="G19" s="2"/>
      <c r="H19" s="2"/>
      <c r="I19" s="2"/>
      <c r="J19" s="7" t="s">
        <v>190</v>
      </c>
      <c r="K19" s="8">
        <v>2</v>
      </c>
      <c r="L19" s="2"/>
      <c r="M19" s="2"/>
      <c r="N19" s="2"/>
      <c r="O19" s="2"/>
      <c r="P19" s="2"/>
      <c r="Q19" s="2"/>
      <c r="R19" s="2"/>
    </row>
    <row r="20" spans="2:35" ht="26.5" customHeight="1">
      <c r="K20" t="s">
        <v>174</v>
      </c>
    </row>
    <row r="21" spans="2:35" ht="26.5" customHeight="1">
      <c r="B21" s="2" t="s">
        <v>98</v>
      </c>
      <c r="C21" s="2" t="s">
        <v>99</v>
      </c>
      <c r="D21" s="2" t="s">
        <v>100</v>
      </c>
      <c r="E21" s="2" t="s">
        <v>173</v>
      </c>
      <c r="F21" s="2"/>
      <c r="G21" s="2"/>
      <c r="K21" t="s">
        <v>187</v>
      </c>
    </row>
    <row r="22" spans="2:35" ht="26.5" customHeight="1">
      <c r="B22" s="2">
        <v>0</v>
      </c>
      <c r="C22" s="2">
        <f>ROUNDDOWN(B22/16,0)</f>
        <v>0</v>
      </c>
      <c r="D22" s="2">
        <f>MOD(B22,16)</f>
        <v>0</v>
      </c>
      <c r="E22" s="2" t="str">
        <f>IF(INDEX($C$3:$R$18,C22+1,D22+1)="","",INDEX($C$3:$R$18,C22+1,D22+1))</f>
        <v/>
      </c>
      <c r="F22" s="2"/>
      <c r="G22" s="2"/>
      <c r="K22" t="str">
        <f>"case "&amp;"L'"&amp;E22&amp;"'"&amp;": "&amp;"bmcode = 0x"&amp;RIGHT("0000"&amp;DEC2HEX($K$19*256+C22*16+D22),4)&amp;"; break;"</f>
        <v>case L'': bmcode = 0x0200; break;</v>
      </c>
    </row>
    <row r="23" spans="2:35" ht="26.5" customHeight="1">
      <c r="B23" s="2">
        <v>1</v>
      </c>
      <c r="C23" s="2">
        <f t="shared" ref="C23:C86" si="2">ROUNDDOWN(B23/16,0)</f>
        <v>0</v>
      </c>
      <c r="D23" s="2">
        <f t="shared" ref="D23:D86" si="3">MOD(B23,16)</f>
        <v>1</v>
      </c>
      <c r="E23" s="2" t="str">
        <f t="shared" ref="E23:E86" si="4">IF(INDEX($C$3:$R$18,C23+1,D23+1)="","",INDEX($C$3:$R$18,C23+1,D23+1))</f>
        <v/>
      </c>
      <c r="F23" s="2"/>
      <c r="G23" s="2"/>
      <c r="K23" t="str">
        <f t="shared" ref="K23:K86" si="5">"case "&amp;"L'"&amp;E23&amp;"'"&amp;": "&amp;"bmcode = 0x"&amp;RIGHT("0000"&amp;DEC2HEX($K$19*256+C23*16+D23),4)&amp;"; break;"</f>
        <v>case L'': bmcode = 0x0201; break;</v>
      </c>
    </row>
    <row r="24" spans="2:35" ht="26.5" customHeight="1">
      <c r="B24" s="2">
        <v>2</v>
      </c>
      <c r="C24" s="2">
        <f t="shared" si="2"/>
        <v>0</v>
      </c>
      <c r="D24" s="2">
        <f t="shared" si="3"/>
        <v>2</v>
      </c>
      <c r="E24" s="2" t="str">
        <f t="shared" si="4"/>
        <v/>
      </c>
      <c r="F24" s="2"/>
      <c r="G24" s="2"/>
      <c r="K24" t="str">
        <f t="shared" si="5"/>
        <v>case L'': bmcode = 0x0202; break;</v>
      </c>
    </row>
    <row r="25" spans="2:35" ht="26.5" customHeight="1">
      <c r="B25" s="2">
        <v>3</v>
      </c>
      <c r="C25" s="2">
        <f t="shared" si="2"/>
        <v>0</v>
      </c>
      <c r="D25" s="2">
        <f t="shared" si="3"/>
        <v>3</v>
      </c>
      <c r="E25" s="2" t="str">
        <f t="shared" si="4"/>
        <v/>
      </c>
      <c r="F25" s="2"/>
      <c r="G25" s="2"/>
      <c r="K25" t="str">
        <f t="shared" si="5"/>
        <v>case L'': bmcode = 0x0203; break;</v>
      </c>
    </row>
    <row r="26" spans="2:35" ht="26.5" customHeight="1">
      <c r="B26" s="2">
        <v>4</v>
      </c>
      <c r="C26" s="2">
        <f t="shared" si="2"/>
        <v>0</v>
      </c>
      <c r="D26" s="2">
        <f t="shared" si="3"/>
        <v>4</v>
      </c>
      <c r="E26" s="2" t="str">
        <f>IF(INDEX($C$3:$R$18,C26+1,D26+1)="","",INDEX($C$3:$R$18,C26+1,D26+1))</f>
        <v/>
      </c>
      <c r="F26" s="2"/>
      <c r="G26" s="2"/>
      <c r="K26" t="str">
        <f t="shared" si="5"/>
        <v>case L'': bmcode = 0x0204; break;</v>
      </c>
    </row>
    <row r="27" spans="2:35" ht="26.5" customHeight="1">
      <c r="B27" s="2">
        <v>5</v>
      </c>
      <c r="C27" s="2">
        <f t="shared" si="2"/>
        <v>0</v>
      </c>
      <c r="D27" s="2">
        <f t="shared" si="3"/>
        <v>5</v>
      </c>
      <c r="E27" s="2" t="str">
        <f t="shared" si="4"/>
        <v/>
      </c>
      <c r="F27" s="2"/>
      <c r="G27" s="2"/>
      <c r="K27" t="str">
        <f t="shared" si="5"/>
        <v>case L'': bmcode = 0x0205; break;</v>
      </c>
    </row>
    <row r="28" spans="2:35" ht="26.5" customHeight="1">
      <c r="B28" s="2">
        <v>6</v>
      </c>
      <c r="C28" s="2">
        <f t="shared" si="2"/>
        <v>0</v>
      </c>
      <c r="D28" s="2">
        <f t="shared" si="3"/>
        <v>6</v>
      </c>
      <c r="E28" s="2" t="str">
        <f t="shared" si="4"/>
        <v/>
      </c>
      <c r="F28" s="2"/>
      <c r="G28" s="2"/>
      <c r="K28" t="str">
        <f t="shared" si="5"/>
        <v>case L'': bmcode = 0x0206; break;</v>
      </c>
    </row>
    <row r="29" spans="2:35" ht="26.5" customHeight="1">
      <c r="B29" s="2">
        <v>7</v>
      </c>
      <c r="C29" s="2">
        <f t="shared" si="2"/>
        <v>0</v>
      </c>
      <c r="D29" s="2">
        <f t="shared" si="3"/>
        <v>7</v>
      </c>
      <c r="E29" s="2" t="str">
        <f t="shared" si="4"/>
        <v/>
      </c>
      <c r="F29" s="2"/>
      <c r="G29" s="2"/>
      <c r="K29" t="str">
        <f t="shared" si="5"/>
        <v>case L'': bmcode = 0x0207; break;</v>
      </c>
    </row>
    <row r="30" spans="2:35" ht="26.5" customHeight="1">
      <c r="B30" s="2">
        <v>8</v>
      </c>
      <c r="C30" s="2">
        <f t="shared" si="2"/>
        <v>0</v>
      </c>
      <c r="D30" s="2">
        <f t="shared" si="3"/>
        <v>8</v>
      </c>
      <c r="E30" s="2" t="str">
        <f t="shared" si="4"/>
        <v/>
      </c>
      <c r="F30" s="2"/>
      <c r="G30" s="2"/>
      <c r="K30" t="str">
        <f t="shared" si="5"/>
        <v>case L'': bmcode = 0x0208; break;</v>
      </c>
    </row>
    <row r="31" spans="2:35" ht="26.5" customHeight="1">
      <c r="B31" s="2">
        <v>9</v>
      </c>
      <c r="C31" s="2">
        <f t="shared" si="2"/>
        <v>0</v>
      </c>
      <c r="D31" s="2">
        <f t="shared" si="3"/>
        <v>9</v>
      </c>
      <c r="E31" s="2" t="str">
        <f t="shared" si="4"/>
        <v/>
      </c>
      <c r="F31" s="2"/>
      <c r="G31" s="2"/>
      <c r="K31" t="str">
        <f t="shared" si="5"/>
        <v>case L'': bmcode = 0x0209; break;</v>
      </c>
    </row>
    <row r="32" spans="2:35" ht="26.5" customHeight="1">
      <c r="B32" s="2">
        <v>10</v>
      </c>
      <c r="C32" s="2">
        <f t="shared" si="2"/>
        <v>0</v>
      </c>
      <c r="D32" s="2">
        <f t="shared" si="3"/>
        <v>10</v>
      </c>
      <c r="E32" s="2" t="str">
        <f t="shared" si="4"/>
        <v/>
      </c>
      <c r="F32" s="2"/>
      <c r="G32" s="2"/>
      <c r="K32" t="str">
        <f t="shared" si="5"/>
        <v>case L'': bmcode = 0x020A; break;</v>
      </c>
    </row>
    <row r="33" spans="2:11" ht="26.5" customHeight="1">
      <c r="B33" s="2">
        <v>11</v>
      </c>
      <c r="C33" s="2">
        <f t="shared" si="2"/>
        <v>0</v>
      </c>
      <c r="D33" s="2">
        <f t="shared" si="3"/>
        <v>11</v>
      </c>
      <c r="E33" s="2" t="str">
        <f t="shared" si="4"/>
        <v/>
      </c>
      <c r="F33" s="2"/>
      <c r="G33" s="2"/>
      <c r="K33" t="str">
        <f t="shared" si="5"/>
        <v>case L'': bmcode = 0x020B; break;</v>
      </c>
    </row>
    <row r="34" spans="2:11" ht="26.5" customHeight="1">
      <c r="B34" s="2">
        <v>12</v>
      </c>
      <c r="C34" s="2">
        <f t="shared" si="2"/>
        <v>0</v>
      </c>
      <c r="D34" s="2">
        <f t="shared" si="3"/>
        <v>12</v>
      </c>
      <c r="E34" s="2" t="str">
        <f t="shared" si="4"/>
        <v/>
      </c>
      <c r="F34" s="2"/>
      <c r="G34" s="2"/>
      <c r="K34" t="str">
        <f t="shared" si="5"/>
        <v>case L'': bmcode = 0x020C; break;</v>
      </c>
    </row>
    <row r="35" spans="2:11" ht="26.5" customHeight="1">
      <c r="B35" s="2">
        <v>13</v>
      </c>
      <c r="C35" s="2">
        <f t="shared" si="2"/>
        <v>0</v>
      </c>
      <c r="D35" s="2">
        <f t="shared" si="3"/>
        <v>13</v>
      </c>
      <c r="E35" s="2" t="str">
        <f t="shared" si="4"/>
        <v/>
      </c>
      <c r="F35" s="2"/>
      <c r="G35" s="2"/>
      <c r="K35" t="str">
        <f t="shared" si="5"/>
        <v>case L'': bmcode = 0x020D; break;</v>
      </c>
    </row>
    <row r="36" spans="2:11" ht="26.5" customHeight="1">
      <c r="B36" s="2">
        <v>14</v>
      </c>
      <c r="C36" s="2">
        <f t="shared" si="2"/>
        <v>0</v>
      </c>
      <c r="D36" s="2">
        <f t="shared" si="3"/>
        <v>14</v>
      </c>
      <c r="E36" s="2" t="str">
        <f t="shared" si="4"/>
        <v/>
      </c>
      <c r="F36" s="2"/>
      <c r="G36" s="2"/>
      <c r="K36" t="str">
        <f t="shared" si="5"/>
        <v>case L'': bmcode = 0x020E; break;</v>
      </c>
    </row>
    <row r="37" spans="2:11" ht="26.5" customHeight="1">
      <c r="B37" s="2">
        <v>15</v>
      </c>
      <c r="C37" s="2">
        <f t="shared" si="2"/>
        <v>0</v>
      </c>
      <c r="D37" s="2">
        <f t="shared" si="3"/>
        <v>15</v>
      </c>
      <c r="E37" s="2" t="str">
        <f t="shared" si="4"/>
        <v/>
      </c>
      <c r="F37" s="2"/>
      <c r="G37" s="2"/>
      <c r="K37" t="str">
        <f t="shared" si="5"/>
        <v>case L'': bmcode = 0x020F; break;</v>
      </c>
    </row>
    <row r="38" spans="2:11" ht="26.5" customHeight="1">
      <c r="B38" s="2">
        <v>16</v>
      </c>
      <c r="C38" s="2">
        <f t="shared" si="2"/>
        <v>1</v>
      </c>
      <c r="D38" s="2">
        <f t="shared" si="3"/>
        <v>0</v>
      </c>
      <c r="E38" s="2" t="str">
        <f t="shared" si="4"/>
        <v/>
      </c>
      <c r="F38" s="2"/>
      <c r="G38" s="2"/>
      <c r="K38" t="str">
        <f t="shared" si="5"/>
        <v>case L'': bmcode = 0x0210; break;</v>
      </c>
    </row>
    <row r="39" spans="2:11" ht="26.5" customHeight="1">
      <c r="B39" s="2">
        <v>17</v>
      </c>
      <c r="C39" s="2">
        <f t="shared" si="2"/>
        <v>1</v>
      </c>
      <c r="D39" s="2">
        <f t="shared" si="3"/>
        <v>1</v>
      </c>
      <c r="E39" s="2" t="str">
        <f t="shared" si="4"/>
        <v/>
      </c>
      <c r="F39" s="2"/>
      <c r="G39" s="2"/>
      <c r="K39" t="str">
        <f t="shared" si="5"/>
        <v>case L'': bmcode = 0x0211; break;</v>
      </c>
    </row>
    <row r="40" spans="2:11" ht="26.5" customHeight="1">
      <c r="B40" s="2">
        <v>18</v>
      </c>
      <c r="C40" s="2">
        <f t="shared" si="2"/>
        <v>1</v>
      </c>
      <c r="D40" s="2">
        <f t="shared" si="3"/>
        <v>2</v>
      </c>
      <c r="E40" s="2" t="str">
        <f t="shared" si="4"/>
        <v/>
      </c>
      <c r="F40" s="2"/>
      <c r="G40" s="2"/>
      <c r="K40" t="str">
        <f t="shared" si="5"/>
        <v>case L'': bmcode = 0x0212; break;</v>
      </c>
    </row>
    <row r="41" spans="2:11" ht="26.5" customHeight="1">
      <c r="B41" s="2">
        <v>19</v>
      </c>
      <c r="C41" s="2">
        <f t="shared" si="2"/>
        <v>1</v>
      </c>
      <c r="D41" s="2">
        <f t="shared" si="3"/>
        <v>3</v>
      </c>
      <c r="E41" s="2" t="str">
        <f t="shared" si="4"/>
        <v/>
      </c>
      <c r="F41" s="2"/>
      <c r="G41" s="2"/>
      <c r="K41" t="str">
        <f t="shared" si="5"/>
        <v>case L'': bmcode = 0x0213; break;</v>
      </c>
    </row>
    <row r="42" spans="2:11" ht="26.5" customHeight="1">
      <c r="B42" s="2">
        <v>20</v>
      </c>
      <c r="C42" s="2">
        <f t="shared" si="2"/>
        <v>1</v>
      </c>
      <c r="D42" s="2">
        <f t="shared" si="3"/>
        <v>4</v>
      </c>
      <c r="E42" s="2" t="str">
        <f t="shared" si="4"/>
        <v/>
      </c>
      <c r="F42" s="2"/>
      <c r="G42" s="2"/>
      <c r="K42" t="str">
        <f t="shared" si="5"/>
        <v>case L'': bmcode = 0x0214; break;</v>
      </c>
    </row>
    <row r="43" spans="2:11" ht="26.5" customHeight="1">
      <c r="B43" s="2">
        <v>21</v>
      </c>
      <c r="C43" s="2">
        <f t="shared" si="2"/>
        <v>1</v>
      </c>
      <c r="D43" s="2">
        <f t="shared" si="3"/>
        <v>5</v>
      </c>
      <c r="E43" s="2" t="str">
        <f t="shared" si="4"/>
        <v/>
      </c>
      <c r="F43" s="2"/>
      <c r="G43" s="2"/>
      <c r="K43" t="str">
        <f t="shared" si="5"/>
        <v>case L'': bmcode = 0x0215; break;</v>
      </c>
    </row>
    <row r="44" spans="2:11" ht="26.5" customHeight="1">
      <c r="B44" s="2">
        <v>22</v>
      </c>
      <c r="C44" s="2">
        <f t="shared" si="2"/>
        <v>1</v>
      </c>
      <c r="D44" s="2">
        <f t="shared" si="3"/>
        <v>6</v>
      </c>
      <c r="E44" s="2" t="str">
        <f t="shared" si="4"/>
        <v/>
      </c>
      <c r="F44" s="2"/>
      <c r="G44" s="2"/>
      <c r="K44" t="str">
        <f t="shared" si="5"/>
        <v>case L'': bmcode = 0x0216; break;</v>
      </c>
    </row>
    <row r="45" spans="2:11" ht="26.5" customHeight="1">
      <c r="B45" s="2">
        <v>23</v>
      </c>
      <c r="C45" s="2">
        <f t="shared" si="2"/>
        <v>1</v>
      </c>
      <c r="D45" s="2">
        <f t="shared" si="3"/>
        <v>7</v>
      </c>
      <c r="E45" s="2" t="str">
        <f t="shared" si="4"/>
        <v/>
      </c>
      <c r="F45" s="2"/>
      <c r="G45" s="2"/>
      <c r="K45" t="str">
        <f t="shared" si="5"/>
        <v>case L'': bmcode = 0x0217; break;</v>
      </c>
    </row>
    <row r="46" spans="2:11" ht="26.5" customHeight="1">
      <c r="B46" s="2">
        <v>24</v>
      </c>
      <c r="C46" s="2">
        <f t="shared" si="2"/>
        <v>1</v>
      </c>
      <c r="D46" s="2">
        <f t="shared" si="3"/>
        <v>8</v>
      </c>
      <c r="E46" s="2" t="str">
        <f t="shared" si="4"/>
        <v/>
      </c>
      <c r="F46" s="2"/>
      <c r="G46" s="2"/>
      <c r="K46" t="str">
        <f t="shared" si="5"/>
        <v>case L'': bmcode = 0x0218; break;</v>
      </c>
    </row>
    <row r="47" spans="2:11" ht="26.5" customHeight="1">
      <c r="B47" s="2">
        <v>25</v>
      </c>
      <c r="C47" s="2">
        <f t="shared" si="2"/>
        <v>1</v>
      </c>
      <c r="D47" s="2">
        <f t="shared" si="3"/>
        <v>9</v>
      </c>
      <c r="E47" s="2" t="str">
        <f t="shared" si="4"/>
        <v/>
      </c>
      <c r="F47" s="2"/>
      <c r="G47" s="2"/>
      <c r="K47" t="str">
        <f t="shared" si="5"/>
        <v>case L'': bmcode = 0x0219; break;</v>
      </c>
    </row>
    <row r="48" spans="2:11" ht="26.5" customHeight="1">
      <c r="B48" s="2">
        <v>26</v>
      </c>
      <c r="C48" s="2">
        <f t="shared" si="2"/>
        <v>1</v>
      </c>
      <c r="D48" s="2">
        <f t="shared" si="3"/>
        <v>10</v>
      </c>
      <c r="E48" s="2" t="str">
        <f t="shared" si="4"/>
        <v/>
      </c>
      <c r="F48" s="2"/>
      <c r="G48" s="2"/>
      <c r="K48" t="str">
        <f t="shared" si="5"/>
        <v>case L'': bmcode = 0x021A; break;</v>
      </c>
    </row>
    <row r="49" spans="2:11" ht="26.5" customHeight="1">
      <c r="B49" s="2">
        <v>27</v>
      </c>
      <c r="C49" s="2">
        <f t="shared" si="2"/>
        <v>1</v>
      </c>
      <c r="D49" s="2">
        <f t="shared" si="3"/>
        <v>11</v>
      </c>
      <c r="E49" s="2" t="str">
        <f t="shared" si="4"/>
        <v/>
      </c>
      <c r="F49" s="2"/>
      <c r="G49" s="2"/>
      <c r="K49" t="str">
        <f t="shared" si="5"/>
        <v>case L'': bmcode = 0x021B; break;</v>
      </c>
    </row>
    <row r="50" spans="2:11" ht="26.5" customHeight="1">
      <c r="B50" s="2">
        <v>28</v>
      </c>
      <c r="C50" s="2">
        <f t="shared" si="2"/>
        <v>1</v>
      </c>
      <c r="D50" s="2">
        <f t="shared" si="3"/>
        <v>12</v>
      </c>
      <c r="E50" s="2" t="str">
        <f t="shared" si="4"/>
        <v/>
      </c>
      <c r="F50" s="2"/>
      <c r="G50" s="2"/>
      <c r="K50" t="str">
        <f t="shared" si="5"/>
        <v>case L'': bmcode = 0x021C; break;</v>
      </c>
    </row>
    <row r="51" spans="2:11" ht="26.5" customHeight="1">
      <c r="B51" s="2">
        <v>29</v>
      </c>
      <c r="C51" s="2">
        <f t="shared" si="2"/>
        <v>1</v>
      </c>
      <c r="D51" s="2">
        <f t="shared" si="3"/>
        <v>13</v>
      </c>
      <c r="E51" s="2" t="str">
        <f t="shared" si="4"/>
        <v/>
      </c>
      <c r="F51" s="2"/>
      <c r="G51" s="2"/>
      <c r="K51" t="str">
        <f t="shared" si="5"/>
        <v>case L'': bmcode = 0x021D; break;</v>
      </c>
    </row>
    <row r="52" spans="2:11" ht="26.5" customHeight="1">
      <c r="B52" s="2">
        <v>30</v>
      </c>
      <c r="C52" s="2">
        <f t="shared" si="2"/>
        <v>1</v>
      </c>
      <c r="D52" s="2">
        <f t="shared" si="3"/>
        <v>14</v>
      </c>
      <c r="E52" s="2" t="str">
        <f t="shared" si="4"/>
        <v/>
      </c>
      <c r="F52" s="2"/>
      <c r="G52" s="2"/>
      <c r="K52" t="str">
        <f t="shared" si="5"/>
        <v>case L'': bmcode = 0x021E; break;</v>
      </c>
    </row>
    <row r="53" spans="2:11" ht="26.5" customHeight="1">
      <c r="B53" s="2">
        <v>31</v>
      </c>
      <c r="C53" s="2">
        <f t="shared" si="2"/>
        <v>1</v>
      </c>
      <c r="D53" s="2">
        <f t="shared" si="3"/>
        <v>15</v>
      </c>
      <c r="E53" s="2" t="str">
        <f t="shared" si="4"/>
        <v/>
      </c>
      <c r="F53" s="2"/>
      <c r="G53" s="2"/>
      <c r="K53" t="str">
        <f t="shared" si="5"/>
        <v>case L'': bmcode = 0x021F; break;</v>
      </c>
    </row>
    <row r="54" spans="2:11" ht="26.5" customHeight="1">
      <c r="B54" s="2">
        <v>32</v>
      </c>
      <c r="C54" s="2">
        <f t="shared" si="2"/>
        <v>2</v>
      </c>
      <c r="D54" s="2">
        <f t="shared" si="3"/>
        <v>0</v>
      </c>
      <c r="E54" s="2" t="str">
        <f t="shared" si="4"/>
        <v/>
      </c>
      <c r="F54" s="2"/>
      <c r="G54" s="2"/>
      <c r="K54" t="str">
        <f t="shared" si="5"/>
        <v>case L'': bmcode = 0x0220; break;</v>
      </c>
    </row>
    <row r="55" spans="2:11" ht="26.5" customHeight="1">
      <c r="B55" s="2">
        <v>33</v>
      </c>
      <c r="C55" s="2">
        <f t="shared" si="2"/>
        <v>2</v>
      </c>
      <c r="D55" s="2">
        <f t="shared" si="3"/>
        <v>1</v>
      </c>
      <c r="E55" s="2" t="str">
        <f t="shared" si="4"/>
        <v/>
      </c>
      <c r="F55" s="2"/>
      <c r="G55" s="2"/>
      <c r="K55" t="str">
        <f t="shared" si="5"/>
        <v>case L'': bmcode = 0x0221; break;</v>
      </c>
    </row>
    <row r="56" spans="2:11" ht="26.5" customHeight="1">
      <c r="B56" s="2">
        <v>34</v>
      </c>
      <c r="C56" s="2">
        <f t="shared" si="2"/>
        <v>2</v>
      </c>
      <c r="D56" s="2">
        <f t="shared" si="3"/>
        <v>2</v>
      </c>
      <c r="E56" s="2" t="str">
        <f t="shared" si="4"/>
        <v/>
      </c>
      <c r="F56" s="2"/>
      <c r="G56" s="2"/>
      <c r="K56" t="str">
        <f t="shared" si="5"/>
        <v>case L'': bmcode = 0x0222; break;</v>
      </c>
    </row>
    <row r="57" spans="2:11" ht="26.5" customHeight="1">
      <c r="B57" s="2">
        <v>35</v>
      </c>
      <c r="C57" s="2">
        <f t="shared" si="2"/>
        <v>2</v>
      </c>
      <c r="D57" s="2">
        <f t="shared" si="3"/>
        <v>3</v>
      </c>
      <c r="E57" s="2" t="str">
        <f t="shared" si="4"/>
        <v/>
      </c>
      <c r="F57" s="2"/>
      <c r="G57" s="2"/>
      <c r="K57" t="str">
        <f t="shared" si="5"/>
        <v>case L'': bmcode = 0x0223; break;</v>
      </c>
    </row>
    <row r="58" spans="2:11" ht="26.5" customHeight="1">
      <c r="B58" s="2">
        <v>36</v>
      </c>
      <c r="C58" s="2">
        <f t="shared" si="2"/>
        <v>2</v>
      </c>
      <c r="D58" s="2">
        <f t="shared" si="3"/>
        <v>4</v>
      </c>
      <c r="E58" s="2" t="str">
        <f t="shared" si="4"/>
        <v/>
      </c>
      <c r="F58" s="2"/>
      <c r="G58" s="2"/>
      <c r="K58" t="str">
        <f t="shared" si="5"/>
        <v>case L'': bmcode = 0x0224; break;</v>
      </c>
    </row>
    <row r="59" spans="2:11" ht="26.5" customHeight="1">
      <c r="B59" s="2">
        <v>37</v>
      </c>
      <c r="C59" s="2">
        <f t="shared" si="2"/>
        <v>2</v>
      </c>
      <c r="D59" s="2">
        <f t="shared" si="3"/>
        <v>5</v>
      </c>
      <c r="E59" s="2" t="str">
        <f t="shared" si="4"/>
        <v/>
      </c>
      <c r="F59" s="2"/>
      <c r="G59" s="2"/>
      <c r="K59" t="str">
        <f t="shared" si="5"/>
        <v>case L'': bmcode = 0x0225; break;</v>
      </c>
    </row>
    <row r="60" spans="2:11" ht="26.5" customHeight="1">
      <c r="B60" s="2">
        <v>38</v>
      </c>
      <c r="C60" s="2">
        <f t="shared" si="2"/>
        <v>2</v>
      </c>
      <c r="D60" s="2">
        <f t="shared" si="3"/>
        <v>6</v>
      </c>
      <c r="E60" s="2" t="str">
        <f t="shared" si="4"/>
        <v/>
      </c>
      <c r="F60" s="2"/>
      <c r="G60" s="2"/>
      <c r="K60" t="str">
        <f t="shared" si="5"/>
        <v>case L'': bmcode = 0x0226; break;</v>
      </c>
    </row>
    <row r="61" spans="2:11" ht="26.5" customHeight="1">
      <c r="B61" s="2">
        <v>39</v>
      </c>
      <c r="C61" s="2">
        <f t="shared" si="2"/>
        <v>2</v>
      </c>
      <c r="D61" s="2">
        <f t="shared" si="3"/>
        <v>7</v>
      </c>
      <c r="E61" s="2" t="str">
        <f t="shared" si="4"/>
        <v/>
      </c>
      <c r="F61" s="2"/>
      <c r="G61" s="2"/>
      <c r="K61" t="str">
        <f t="shared" si="5"/>
        <v>case L'': bmcode = 0x0227; break;</v>
      </c>
    </row>
    <row r="62" spans="2:11" ht="26.5" customHeight="1">
      <c r="B62" s="2">
        <v>40</v>
      </c>
      <c r="C62" s="2">
        <f t="shared" si="2"/>
        <v>2</v>
      </c>
      <c r="D62" s="2">
        <f t="shared" si="3"/>
        <v>8</v>
      </c>
      <c r="E62" s="2" t="str">
        <f t="shared" si="4"/>
        <v/>
      </c>
      <c r="F62" s="2"/>
      <c r="G62" s="2"/>
      <c r="K62" t="str">
        <f t="shared" si="5"/>
        <v>case L'': bmcode = 0x0228; break;</v>
      </c>
    </row>
    <row r="63" spans="2:11" ht="26.5" customHeight="1">
      <c r="B63" s="2">
        <v>41</v>
      </c>
      <c r="C63" s="2">
        <f t="shared" si="2"/>
        <v>2</v>
      </c>
      <c r="D63" s="2">
        <f t="shared" si="3"/>
        <v>9</v>
      </c>
      <c r="E63" s="2" t="str">
        <f t="shared" si="4"/>
        <v/>
      </c>
      <c r="F63" s="2"/>
      <c r="G63" s="2"/>
      <c r="K63" t="str">
        <f t="shared" si="5"/>
        <v>case L'': bmcode = 0x0229; break;</v>
      </c>
    </row>
    <row r="64" spans="2:11" ht="26.5" customHeight="1">
      <c r="B64" s="2">
        <v>42</v>
      </c>
      <c r="C64" s="2">
        <f t="shared" si="2"/>
        <v>2</v>
      </c>
      <c r="D64" s="2">
        <f t="shared" si="3"/>
        <v>10</v>
      </c>
      <c r="E64" s="2" t="str">
        <f t="shared" si="4"/>
        <v/>
      </c>
      <c r="F64" s="2"/>
      <c r="G64" s="2"/>
      <c r="K64" t="str">
        <f t="shared" si="5"/>
        <v>case L'': bmcode = 0x022A; break;</v>
      </c>
    </row>
    <row r="65" spans="2:11" ht="26.5" customHeight="1">
      <c r="B65" s="2">
        <v>43</v>
      </c>
      <c r="C65" s="2">
        <f t="shared" si="2"/>
        <v>2</v>
      </c>
      <c r="D65" s="2">
        <f t="shared" si="3"/>
        <v>11</v>
      </c>
      <c r="E65" s="2" t="str">
        <f t="shared" si="4"/>
        <v/>
      </c>
      <c r="F65" s="2"/>
      <c r="G65" s="2"/>
      <c r="K65" t="str">
        <f t="shared" si="5"/>
        <v>case L'': bmcode = 0x022B; break;</v>
      </c>
    </row>
    <row r="66" spans="2:11" ht="26.5" customHeight="1">
      <c r="B66" s="2">
        <v>44</v>
      </c>
      <c r="C66" s="2">
        <f t="shared" si="2"/>
        <v>2</v>
      </c>
      <c r="D66" s="2">
        <f t="shared" si="3"/>
        <v>12</v>
      </c>
      <c r="E66" s="2" t="str">
        <f t="shared" si="4"/>
        <v/>
      </c>
      <c r="F66" s="2"/>
      <c r="G66" s="2"/>
      <c r="K66" t="str">
        <f t="shared" si="5"/>
        <v>case L'': bmcode = 0x022C; break;</v>
      </c>
    </row>
    <row r="67" spans="2:11" ht="26.5" customHeight="1">
      <c r="B67" s="2">
        <v>45</v>
      </c>
      <c r="C67" s="2">
        <f t="shared" si="2"/>
        <v>2</v>
      </c>
      <c r="D67" s="2">
        <f t="shared" si="3"/>
        <v>13</v>
      </c>
      <c r="E67" s="2" t="str">
        <f t="shared" si="4"/>
        <v/>
      </c>
      <c r="F67" s="2"/>
      <c r="G67" s="2"/>
      <c r="K67" t="str">
        <f t="shared" si="5"/>
        <v>case L'': bmcode = 0x022D; break;</v>
      </c>
    </row>
    <row r="68" spans="2:11" ht="26.5" customHeight="1">
      <c r="B68" s="2">
        <v>46</v>
      </c>
      <c r="C68" s="2">
        <f t="shared" si="2"/>
        <v>2</v>
      </c>
      <c r="D68" s="2">
        <f t="shared" si="3"/>
        <v>14</v>
      </c>
      <c r="E68" s="2" t="str">
        <f t="shared" si="4"/>
        <v/>
      </c>
      <c r="F68" s="2"/>
      <c r="G68" s="2"/>
      <c r="K68" t="str">
        <f t="shared" si="5"/>
        <v>case L'': bmcode = 0x022E; break;</v>
      </c>
    </row>
    <row r="69" spans="2:11" ht="26.5" customHeight="1">
      <c r="B69" s="2">
        <v>47</v>
      </c>
      <c r="C69" s="2">
        <f t="shared" si="2"/>
        <v>2</v>
      </c>
      <c r="D69" s="2">
        <f t="shared" si="3"/>
        <v>15</v>
      </c>
      <c r="E69" s="2" t="str">
        <f t="shared" si="4"/>
        <v/>
      </c>
      <c r="F69" s="2"/>
      <c r="G69" s="2"/>
      <c r="K69" t="str">
        <f t="shared" si="5"/>
        <v>case L'': bmcode = 0x022F; break;</v>
      </c>
    </row>
    <row r="70" spans="2:11" ht="26.5" customHeight="1">
      <c r="B70" s="2">
        <v>48</v>
      </c>
      <c r="C70" s="2">
        <f t="shared" si="2"/>
        <v>3</v>
      </c>
      <c r="D70" s="2">
        <f t="shared" si="3"/>
        <v>0</v>
      </c>
      <c r="E70" s="2" t="str">
        <f t="shared" si="4"/>
        <v/>
      </c>
      <c r="F70" s="2"/>
      <c r="G70" s="2"/>
      <c r="K70" t="str">
        <f t="shared" si="5"/>
        <v>case L'': bmcode = 0x0230; break;</v>
      </c>
    </row>
    <row r="71" spans="2:11" ht="26.5" customHeight="1">
      <c r="B71" s="2">
        <v>49</v>
      </c>
      <c r="C71" s="2">
        <f t="shared" si="2"/>
        <v>3</v>
      </c>
      <c r="D71" s="2">
        <f t="shared" si="3"/>
        <v>1</v>
      </c>
      <c r="E71" s="2" t="str">
        <f t="shared" si="4"/>
        <v/>
      </c>
      <c r="F71" s="2"/>
      <c r="G71" s="2"/>
      <c r="K71" t="str">
        <f t="shared" si="5"/>
        <v>case L'': bmcode = 0x0231; break;</v>
      </c>
    </row>
    <row r="72" spans="2:11" ht="26.5" customHeight="1">
      <c r="B72" s="2">
        <v>50</v>
      </c>
      <c r="C72" s="2">
        <f t="shared" si="2"/>
        <v>3</v>
      </c>
      <c r="D72" s="2">
        <f t="shared" si="3"/>
        <v>2</v>
      </c>
      <c r="E72" s="2" t="str">
        <f t="shared" si="4"/>
        <v/>
      </c>
      <c r="F72" s="2"/>
      <c r="G72" s="2"/>
      <c r="K72" t="str">
        <f t="shared" si="5"/>
        <v>case L'': bmcode = 0x0232; break;</v>
      </c>
    </row>
    <row r="73" spans="2:11" ht="26.5" customHeight="1">
      <c r="B73" s="2">
        <v>51</v>
      </c>
      <c r="C73" s="2">
        <f t="shared" si="2"/>
        <v>3</v>
      </c>
      <c r="D73" s="2">
        <f t="shared" si="3"/>
        <v>3</v>
      </c>
      <c r="E73" s="2" t="str">
        <f t="shared" si="4"/>
        <v/>
      </c>
      <c r="F73" s="2"/>
      <c r="G73" s="2"/>
      <c r="K73" t="str">
        <f t="shared" si="5"/>
        <v>case L'': bmcode = 0x0233; break;</v>
      </c>
    </row>
    <row r="74" spans="2:11" ht="26.5" customHeight="1">
      <c r="B74" s="2">
        <v>52</v>
      </c>
      <c r="C74" s="2">
        <f t="shared" si="2"/>
        <v>3</v>
      </c>
      <c r="D74" s="2">
        <f t="shared" si="3"/>
        <v>4</v>
      </c>
      <c r="E74" s="2" t="str">
        <f t="shared" si="4"/>
        <v/>
      </c>
      <c r="F74" s="2"/>
      <c r="G74" s="2"/>
      <c r="K74" t="str">
        <f t="shared" si="5"/>
        <v>case L'': bmcode = 0x0234; break;</v>
      </c>
    </row>
    <row r="75" spans="2:11" ht="26.5" customHeight="1">
      <c r="B75" s="2">
        <v>53</v>
      </c>
      <c r="C75" s="2">
        <f t="shared" si="2"/>
        <v>3</v>
      </c>
      <c r="D75" s="2">
        <f t="shared" si="3"/>
        <v>5</v>
      </c>
      <c r="E75" s="2" t="str">
        <f t="shared" si="4"/>
        <v/>
      </c>
      <c r="F75" s="2"/>
      <c r="G75" s="2"/>
      <c r="K75" t="str">
        <f t="shared" si="5"/>
        <v>case L'': bmcode = 0x0235; break;</v>
      </c>
    </row>
    <row r="76" spans="2:11" ht="26.5" customHeight="1">
      <c r="B76" s="2">
        <v>54</v>
      </c>
      <c r="C76" s="2">
        <f t="shared" si="2"/>
        <v>3</v>
      </c>
      <c r="D76" s="2">
        <f t="shared" si="3"/>
        <v>6</v>
      </c>
      <c r="E76" s="2" t="str">
        <f t="shared" si="4"/>
        <v/>
      </c>
      <c r="F76" s="2"/>
      <c r="G76" s="2"/>
      <c r="K76" t="str">
        <f t="shared" si="5"/>
        <v>case L'': bmcode = 0x0236; break;</v>
      </c>
    </row>
    <row r="77" spans="2:11" ht="26.5" customHeight="1">
      <c r="B77" s="2">
        <v>55</v>
      </c>
      <c r="C77" s="2">
        <f t="shared" si="2"/>
        <v>3</v>
      </c>
      <c r="D77" s="2">
        <f t="shared" si="3"/>
        <v>7</v>
      </c>
      <c r="E77" s="2" t="str">
        <f t="shared" si="4"/>
        <v/>
      </c>
      <c r="F77" s="2"/>
      <c r="G77" s="2"/>
      <c r="K77" t="str">
        <f t="shared" si="5"/>
        <v>case L'': bmcode = 0x0237; break;</v>
      </c>
    </row>
    <row r="78" spans="2:11" ht="26.5" customHeight="1">
      <c r="B78" s="2">
        <v>56</v>
      </c>
      <c r="C78" s="2">
        <f t="shared" si="2"/>
        <v>3</v>
      </c>
      <c r="D78" s="2">
        <f t="shared" si="3"/>
        <v>8</v>
      </c>
      <c r="E78" s="2" t="str">
        <f t="shared" si="4"/>
        <v/>
      </c>
      <c r="F78" s="2"/>
      <c r="G78" s="2"/>
      <c r="K78" t="str">
        <f t="shared" si="5"/>
        <v>case L'': bmcode = 0x0238; break;</v>
      </c>
    </row>
    <row r="79" spans="2:11" ht="26.5" customHeight="1">
      <c r="B79" s="2">
        <v>57</v>
      </c>
      <c r="C79" s="2">
        <f t="shared" si="2"/>
        <v>3</v>
      </c>
      <c r="D79" s="2">
        <f t="shared" si="3"/>
        <v>9</v>
      </c>
      <c r="E79" s="2" t="str">
        <f t="shared" si="4"/>
        <v/>
      </c>
      <c r="F79" s="2"/>
      <c r="G79" s="2"/>
      <c r="K79" t="str">
        <f t="shared" si="5"/>
        <v>case L'': bmcode = 0x0239; break;</v>
      </c>
    </row>
    <row r="80" spans="2:11" ht="26.5" customHeight="1">
      <c r="B80" s="2">
        <v>58</v>
      </c>
      <c r="C80" s="2">
        <f t="shared" si="2"/>
        <v>3</v>
      </c>
      <c r="D80" s="2">
        <f t="shared" si="3"/>
        <v>10</v>
      </c>
      <c r="E80" s="2" t="str">
        <f t="shared" si="4"/>
        <v/>
      </c>
      <c r="F80" s="2"/>
      <c r="G80" s="2"/>
      <c r="K80" t="str">
        <f t="shared" si="5"/>
        <v>case L'': bmcode = 0x023A; break;</v>
      </c>
    </row>
    <row r="81" spans="2:11" ht="26.5" customHeight="1">
      <c r="B81" s="2">
        <v>59</v>
      </c>
      <c r="C81" s="2">
        <f t="shared" si="2"/>
        <v>3</v>
      </c>
      <c r="D81" s="2">
        <f t="shared" si="3"/>
        <v>11</v>
      </c>
      <c r="E81" s="2" t="str">
        <f t="shared" si="4"/>
        <v/>
      </c>
      <c r="F81" s="2"/>
      <c r="G81" s="2"/>
      <c r="K81" t="str">
        <f t="shared" si="5"/>
        <v>case L'': bmcode = 0x023B; break;</v>
      </c>
    </row>
    <row r="82" spans="2:11" ht="26.5" customHeight="1">
      <c r="B82" s="2">
        <v>60</v>
      </c>
      <c r="C82" s="2">
        <f t="shared" si="2"/>
        <v>3</v>
      </c>
      <c r="D82" s="2">
        <f t="shared" si="3"/>
        <v>12</v>
      </c>
      <c r="E82" s="2" t="str">
        <f t="shared" si="4"/>
        <v/>
      </c>
      <c r="F82" s="2"/>
      <c r="G82" s="2"/>
      <c r="K82" t="str">
        <f t="shared" si="5"/>
        <v>case L'': bmcode = 0x023C; break;</v>
      </c>
    </row>
    <row r="83" spans="2:11" ht="26.5" customHeight="1">
      <c r="B83" s="2">
        <v>61</v>
      </c>
      <c r="C83" s="2">
        <f t="shared" si="2"/>
        <v>3</v>
      </c>
      <c r="D83" s="2">
        <f t="shared" si="3"/>
        <v>13</v>
      </c>
      <c r="E83" s="2" t="str">
        <f t="shared" si="4"/>
        <v/>
      </c>
      <c r="F83" s="2"/>
      <c r="G83" s="2"/>
      <c r="K83" t="str">
        <f t="shared" si="5"/>
        <v>case L'': bmcode = 0x023D; break;</v>
      </c>
    </row>
    <row r="84" spans="2:11" ht="26.5" customHeight="1">
      <c r="B84" s="2">
        <v>62</v>
      </c>
      <c r="C84" s="2">
        <f t="shared" si="2"/>
        <v>3</v>
      </c>
      <c r="D84" s="2">
        <f t="shared" si="3"/>
        <v>14</v>
      </c>
      <c r="E84" s="2" t="str">
        <f t="shared" si="4"/>
        <v/>
      </c>
      <c r="F84" s="2"/>
      <c r="G84" s="2"/>
      <c r="K84" t="str">
        <f t="shared" si="5"/>
        <v>case L'': bmcode = 0x023E; break;</v>
      </c>
    </row>
    <row r="85" spans="2:11" ht="26.5" customHeight="1">
      <c r="B85" s="2">
        <v>63</v>
      </c>
      <c r="C85" s="2">
        <f t="shared" si="2"/>
        <v>3</v>
      </c>
      <c r="D85" s="2">
        <f t="shared" si="3"/>
        <v>15</v>
      </c>
      <c r="E85" s="2" t="str">
        <f t="shared" si="4"/>
        <v/>
      </c>
      <c r="F85" s="2"/>
      <c r="G85" s="2"/>
      <c r="K85" t="str">
        <f t="shared" si="5"/>
        <v>case L'': bmcode = 0x023F; break;</v>
      </c>
    </row>
    <row r="86" spans="2:11" ht="26.5" customHeight="1">
      <c r="B86" s="2">
        <v>64</v>
      </c>
      <c r="C86" s="2">
        <f t="shared" si="2"/>
        <v>4</v>
      </c>
      <c r="D86" s="2">
        <f t="shared" si="3"/>
        <v>0</v>
      </c>
      <c r="E86" s="2" t="str">
        <f t="shared" si="4"/>
        <v/>
      </c>
      <c r="F86" s="2"/>
      <c r="G86" s="2"/>
      <c r="K86" t="str">
        <f t="shared" si="5"/>
        <v>case L'': bmcode = 0x0240; break;</v>
      </c>
    </row>
    <row r="87" spans="2:11" ht="26.5" customHeight="1">
      <c r="B87" s="2">
        <v>65</v>
      </c>
      <c r="C87" s="2">
        <f t="shared" ref="C87:C150" si="6">ROUNDDOWN(B87/16,0)</f>
        <v>4</v>
      </c>
      <c r="D87" s="2">
        <f t="shared" ref="D87:D150" si="7">MOD(B87,16)</f>
        <v>1</v>
      </c>
      <c r="E87" s="2" t="str">
        <f t="shared" ref="E87:E150" si="8">IF(INDEX($C$3:$R$18,C87+1,D87+1)="","",INDEX($C$3:$R$18,C87+1,D87+1))</f>
        <v/>
      </c>
      <c r="F87" s="2"/>
      <c r="G87" s="2"/>
      <c r="K87" t="str">
        <f t="shared" ref="K87:K150" si="9">"case "&amp;"L'"&amp;E87&amp;"'"&amp;": "&amp;"bmcode = 0x"&amp;RIGHT("0000"&amp;DEC2HEX($K$19*256+C87*16+D87),4)&amp;"; break;"</f>
        <v>case L'': bmcode = 0x0241; break;</v>
      </c>
    </row>
    <row r="88" spans="2:11" ht="26.5" customHeight="1">
      <c r="B88" s="2">
        <v>66</v>
      </c>
      <c r="C88" s="2">
        <f t="shared" si="6"/>
        <v>4</v>
      </c>
      <c r="D88" s="2">
        <f t="shared" si="7"/>
        <v>2</v>
      </c>
      <c r="E88" s="2" t="str">
        <f t="shared" si="8"/>
        <v/>
      </c>
      <c r="F88" s="2"/>
      <c r="G88" s="2"/>
      <c r="K88" t="str">
        <f t="shared" si="9"/>
        <v>case L'': bmcode = 0x0242; break;</v>
      </c>
    </row>
    <row r="89" spans="2:11" ht="26.5" customHeight="1">
      <c r="B89" s="2">
        <v>67</v>
      </c>
      <c r="C89" s="2">
        <f t="shared" si="6"/>
        <v>4</v>
      </c>
      <c r="D89" s="2">
        <f t="shared" si="7"/>
        <v>3</v>
      </c>
      <c r="E89" s="2" t="str">
        <f t="shared" si="8"/>
        <v/>
      </c>
      <c r="F89" s="2"/>
      <c r="G89" s="2"/>
      <c r="K89" t="str">
        <f t="shared" si="9"/>
        <v>case L'': bmcode = 0x0243; break;</v>
      </c>
    </row>
    <row r="90" spans="2:11" ht="26.5" customHeight="1">
      <c r="B90" s="2">
        <v>68</v>
      </c>
      <c r="C90" s="2">
        <f t="shared" si="6"/>
        <v>4</v>
      </c>
      <c r="D90" s="2">
        <f t="shared" si="7"/>
        <v>4</v>
      </c>
      <c r="E90" s="2" t="str">
        <f t="shared" si="8"/>
        <v/>
      </c>
      <c r="F90" s="2"/>
      <c r="G90" s="2"/>
      <c r="K90" t="str">
        <f t="shared" si="9"/>
        <v>case L'': bmcode = 0x0244; break;</v>
      </c>
    </row>
    <row r="91" spans="2:11" ht="26.5" customHeight="1">
      <c r="B91" s="2">
        <v>69</v>
      </c>
      <c r="C91" s="2">
        <f t="shared" si="6"/>
        <v>4</v>
      </c>
      <c r="D91" s="2">
        <f t="shared" si="7"/>
        <v>5</v>
      </c>
      <c r="E91" s="2" t="str">
        <f t="shared" si="8"/>
        <v/>
      </c>
      <c r="F91" s="2"/>
      <c r="G91" s="2"/>
      <c r="K91" t="str">
        <f t="shared" si="9"/>
        <v>case L'': bmcode = 0x0245; break;</v>
      </c>
    </row>
    <row r="92" spans="2:11" ht="26.5" customHeight="1">
      <c r="B92" s="2">
        <v>70</v>
      </c>
      <c r="C92" s="2">
        <f t="shared" si="6"/>
        <v>4</v>
      </c>
      <c r="D92" s="2">
        <f t="shared" si="7"/>
        <v>6</v>
      </c>
      <c r="E92" s="2" t="str">
        <f t="shared" si="8"/>
        <v/>
      </c>
      <c r="F92" s="2"/>
      <c r="G92" s="2"/>
      <c r="K92" t="str">
        <f t="shared" si="9"/>
        <v>case L'': bmcode = 0x0246; break;</v>
      </c>
    </row>
    <row r="93" spans="2:11" ht="26.5" customHeight="1">
      <c r="B93" s="2">
        <v>71</v>
      </c>
      <c r="C93" s="2">
        <f t="shared" si="6"/>
        <v>4</v>
      </c>
      <c r="D93" s="2">
        <f t="shared" si="7"/>
        <v>7</v>
      </c>
      <c r="E93" s="2" t="str">
        <f t="shared" si="8"/>
        <v/>
      </c>
      <c r="F93" s="2"/>
      <c r="G93" s="2"/>
      <c r="K93" t="str">
        <f t="shared" si="9"/>
        <v>case L'': bmcode = 0x0247; break;</v>
      </c>
    </row>
    <row r="94" spans="2:11" ht="26.5" customHeight="1">
      <c r="B94" s="2">
        <v>72</v>
      </c>
      <c r="C94" s="2">
        <f t="shared" si="6"/>
        <v>4</v>
      </c>
      <c r="D94" s="2">
        <f t="shared" si="7"/>
        <v>8</v>
      </c>
      <c r="E94" s="2" t="str">
        <f t="shared" si="8"/>
        <v/>
      </c>
      <c r="F94" s="2"/>
      <c r="G94" s="2"/>
      <c r="K94" t="str">
        <f t="shared" si="9"/>
        <v>case L'': bmcode = 0x0248; break;</v>
      </c>
    </row>
    <row r="95" spans="2:11" ht="26.5" customHeight="1">
      <c r="B95" s="2">
        <v>73</v>
      </c>
      <c r="C95" s="2">
        <f t="shared" si="6"/>
        <v>4</v>
      </c>
      <c r="D95" s="2">
        <f t="shared" si="7"/>
        <v>9</v>
      </c>
      <c r="E95" s="2" t="str">
        <f t="shared" si="8"/>
        <v/>
      </c>
      <c r="F95" s="2"/>
      <c r="G95" s="2"/>
      <c r="K95" t="str">
        <f t="shared" si="9"/>
        <v>case L'': bmcode = 0x0249; break;</v>
      </c>
    </row>
    <row r="96" spans="2:11" ht="26.5" customHeight="1">
      <c r="B96" s="2">
        <v>74</v>
      </c>
      <c r="C96" s="2">
        <f t="shared" si="6"/>
        <v>4</v>
      </c>
      <c r="D96" s="2">
        <f t="shared" si="7"/>
        <v>10</v>
      </c>
      <c r="E96" s="2" t="str">
        <f t="shared" si="8"/>
        <v/>
      </c>
      <c r="F96" s="2"/>
      <c r="G96" s="2"/>
      <c r="K96" t="str">
        <f t="shared" si="9"/>
        <v>case L'': bmcode = 0x024A; break;</v>
      </c>
    </row>
    <row r="97" spans="2:11" ht="26.5" customHeight="1">
      <c r="B97" s="2">
        <v>75</v>
      </c>
      <c r="C97" s="2">
        <f t="shared" si="6"/>
        <v>4</v>
      </c>
      <c r="D97" s="2">
        <f t="shared" si="7"/>
        <v>11</v>
      </c>
      <c r="E97" s="2" t="str">
        <f t="shared" si="8"/>
        <v/>
      </c>
      <c r="F97" s="2"/>
      <c r="G97" s="2"/>
      <c r="K97" t="str">
        <f t="shared" si="9"/>
        <v>case L'': bmcode = 0x024B; break;</v>
      </c>
    </row>
    <row r="98" spans="2:11" ht="26.5" customHeight="1">
      <c r="B98" s="2">
        <v>76</v>
      </c>
      <c r="C98" s="2">
        <f t="shared" si="6"/>
        <v>4</v>
      </c>
      <c r="D98" s="2">
        <f t="shared" si="7"/>
        <v>12</v>
      </c>
      <c r="E98" s="2" t="str">
        <f t="shared" si="8"/>
        <v/>
      </c>
      <c r="F98" s="2"/>
      <c r="G98" s="2"/>
      <c r="K98" t="str">
        <f t="shared" si="9"/>
        <v>case L'': bmcode = 0x024C; break;</v>
      </c>
    </row>
    <row r="99" spans="2:11" ht="26.5" customHeight="1">
      <c r="B99" s="2">
        <v>77</v>
      </c>
      <c r="C99" s="2">
        <f t="shared" si="6"/>
        <v>4</v>
      </c>
      <c r="D99" s="2">
        <f t="shared" si="7"/>
        <v>13</v>
      </c>
      <c r="E99" s="2" t="str">
        <f t="shared" si="8"/>
        <v/>
      </c>
      <c r="F99" s="2"/>
      <c r="G99" s="2"/>
      <c r="K99" t="str">
        <f t="shared" si="9"/>
        <v>case L'': bmcode = 0x024D; break;</v>
      </c>
    </row>
    <row r="100" spans="2:11" ht="26.5" customHeight="1">
      <c r="B100" s="2">
        <v>78</v>
      </c>
      <c r="C100" s="2">
        <f t="shared" si="6"/>
        <v>4</v>
      </c>
      <c r="D100" s="2">
        <f t="shared" si="7"/>
        <v>14</v>
      </c>
      <c r="E100" s="2" t="str">
        <f t="shared" si="8"/>
        <v/>
      </c>
      <c r="F100" s="2"/>
      <c r="G100" s="2"/>
      <c r="K100" t="str">
        <f t="shared" si="9"/>
        <v>case L'': bmcode = 0x024E; break;</v>
      </c>
    </row>
    <row r="101" spans="2:11" ht="26.5" customHeight="1">
      <c r="B101" s="2">
        <v>79</v>
      </c>
      <c r="C101" s="2">
        <f t="shared" si="6"/>
        <v>4</v>
      </c>
      <c r="D101" s="2">
        <f t="shared" si="7"/>
        <v>15</v>
      </c>
      <c r="E101" s="2" t="str">
        <f t="shared" si="8"/>
        <v/>
      </c>
      <c r="F101" s="2"/>
      <c r="G101" s="2"/>
      <c r="K101" t="str">
        <f t="shared" si="9"/>
        <v>case L'': bmcode = 0x024F; break;</v>
      </c>
    </row>
    <row r="102" spans="2:11" ht="26.5" customHeight="1">
      <c r="B102" s="2">
        <v>80</v>
      </c>
      <c r="C102" s="2">
        <f t="shared" si="6"/>
        <v>5</v>
      </c>
      <c r="D102" s="2">
        <f t="shared" si="7"/>
        <v>0</v>
      </c>
      <c r="E102" s="2" t="str">
        <f t="shared" si="8"/>
        <v/>
      </c>
      <c r="F102" s="2"/>
      <c r="G102" s="2"/>
      <c r="K102" t="str">
        <f t="shared" si="9"/>
        <v>case L'': bmcode = 0x0250; break;</v>
      </c>
    </row>
    <row r="103" spans="2:11" ht="26.5" customHeight="1">
      <c r="B103" s="2">
        <v>81</v>
      </c>
      <c r="C103" s="2">
        <f t="shared" si="6"/>
        <v>5</v>
      </c>
      <c r="D103" s="2">
        <f t="shared" si="7"/>
        <v>1</v>
      </c>
      <c r="E103" s="2" t="str">
        <f t="shared" si="8"/>
        <v/>
      </c>
      <c r="F103" s="2"/>
      <c r="G103" s="2"/>
      <c r="K103" t="str">
        <f t="shared" si="9"/>
        <v>case L'': bmcode = 0x0251; break;</v>
      </c>
    </row>
    <row r="104" spans="2:11" ht="26.5" customHeight="1">
      <c r="B104" s="2">
        <v>82</v>
      </c>
      <c r="C104" s="2">
        <f t="shared" si="6"/>
        <v>5</v>
      </c>
      <c r="D104" s="2">
        <f t="shared" si="7"/>
        <v>2</v>
      </c>
      <c r="E104" s="2" t="str">
        <f t="shared" si="8"/>
        <v/>
      </c>
      <c r="F104" s="2"/>
      <c r="G104" s="2"/>
      <c r="K104" t="str">
        <f t="shared" si="9"/>
        <v>case L'': bmcode = 0x0252; break;</v>
      </c>
    </row>
    <row r="105" spans="2:11" ht="26.5" customHeight="1">
      <c r="B105" s="2">
        <v>83</v>
      </c>
      <c r="C105" s="2">
        <f t="shared" si="6"/>
        <v>5</v>
      </c>
      <c r="D105" s="2">
        <f t="shared" si="7"/>
        <v>3</v>
      </c>
      <c r="E105" s="2" t="str">
        <f t="shared" si="8"/>
        <v/>
      </c>
      <c r="F105" s="2"/>
      <c r="G105" s="2"/>
      <c r="K105" t="str">
        <f t="shared" si="9"/>
        <v>case L'': bmcode = 0x0253; break;</v>
      </c>
    </row>
    <row r="106" spans="2:11" ht="26.5" customHeight="1">
      <c r="B106" s="2">
        <v>84</v>
      </c>
      <c r="C106" s="2">
        <f t="shared" si="6"/>
        <v>5</v>
      </c>
      <c r="D106" s="2">
        <f t="shared" si="7"/>
        <v>4</v>
      </c>
      <c r="E106" s="2" t="str">
        <f t="shared" si="8"/>
        <v/>
      </c>
      <c r="F106" s="2"/>
      <c r="G106" s="2"/>
      <c r="K106" t="str">
        <f t="shared" si="9"/>
        <v>case L'': bmcode = 0x0254; break;</v>
      </c>
    </row>
    <row r="107" spans="2:11" ht="26.5" customHeight="1">
      <c r="B107" s="2">
        <v>85</v>
      </c>
      <c r="C107" s="2">
        <f t="shared" si="6"/>
        <v>5</v>
      </c>
      <c r="D107" s="2">
        <f t="shared" si="7"/>
        <v>5</v>
      </c>
      <c r="E107" s="2" t="str">
        <f t="shared" si="8"/>
        <v/>
      </c>
      <c r="F107" s="2"/>
      <c r="G107" s="2"/>
      <c r="K107" t="str">
        <f t="shared" si="9"/>
        <v>case L'': bmcode = 0x0255; break;</v>
      </c>
    </row>
    <row r="108" spans="2:11" ht="26.5" customHeight="1">
      <c r="B108" s="2">
        <v>86</v>
      </c>
      <c r="C108" s="2">
        <f t="shared" si="6"/>
        <v>5</v>
      </c>
      <c r="D108" s="2">
        <f t="shared" si="7"/>
        <v>6</v>
      </c>
      <c r="E108" s="2" t="str">
        <f t="shared" si="8"/>
        <v/>
      </c>
      <c r="F108" s="2"/>
      <c r="G108" s="2"/>
      <c r="K108" t="str">
        <f t="shared" si="9"/>
        <v>case L'': bmcode = 0x0256; break;</v>
      </c>
    </row>
    <row r="109" spans="2:11" ht="26.5" customHeight="1">
      <c r="B109" s="2">
        <v>87</v>
      </c>
      <c r="C109" s="2">
        <f t="shared" si="6"/>
        <v>5</v>
      </c>
      <c r="D109" s="2">
        <f t="shared" si="7"/>
        <v>7</v>
      </c>
      <c r="E109" s="2" t="str">
        <f t="shared" si="8"/>
        <v/>
      </c>
      <c r="F109" s="2"/>
      <c r="G109" s="2"/>
      <c r="K109" t="str">
        <f t="shared" si="9"/>
        <v>case L'': bmcode = 0x0257; break;</v>
      </c>
    </row>
    <row r="110" spans="2:11" ht="26.5" customHeight="1">
      <c r="B110" s="2">
        <v>88</v>
      </c>
      <c r="C110" s="2">
        <f t="shared" si="6"/>
        <v>5</v>
      </c>
      <c r="D110" s="2">
        <f t="shared" si="7"/>
        <v>8</v>
      </c>
      <c r="E110" s="2" t="str">
        <f t="shared" si="8"/>
        <v/>
      </c>
      <c r="F110" s="2"/>
      <c r="G110" s="2"/>
      <c r="K110" t="str">
        <f t="shared" si="9"/>
        <v>case L'': bmcode = 0x0258; break;</v>
      </c>
    </row>
    <row r="111" spans="2:11" ht="26.5" customHeight="1">
      <c r="B111" s="2">
        <v>89</v>
      </c>
      <c r="C111" s="2">
        <f t="shared" si="6"/>
        <v>5</v>
      </c>
      <c r="D111" s="2">
        <f t="shared" si="7"/>
        <v>9</v>
      </c>
      <c r="E111" s="2" t="str">
        <f t="shared" si="8"/>
        <v/>
      </c>
      <c r="F111" s="2"/>
      <c r="G111" s="2"/>
      <c r="K111" t="str">
        <f t="shared" si="9"/>
        <v>case L'': bmcode = 0x0259; break;</v>
      </c>
    </row>
    <row r="112" spans="2:11" ht="26.5" customHeight="1">
      <c r="B112" s="2">
        <v>90</v>
      </c>
      <c r="C112" s="2">
        <f t="shared" si="6"/>
        <v>5</v>
      </c>
      <c r="D112" s="2">
        <f t="shared" si="7"/>
        <v>10</v>
      </c>
      <c r="E112" s="2" t="str">
        <f t="shared" si="8"/>
        <v/>
      </c>
      <c r="F112" s="2"/>
      <c r="G112" s="2"/>
      <c r="K112" t="str">
        <f t="shared" si="9"/>
        <v>case L'': bmcode = 0x025A; break;</v>
      </c>
    </row>
    <row r="113" spans="2:11" ht="26.5" customHeight="1">
      <c r="B113" s="2">
        <v>91</v>
      </c>
      <c r="C113" s="2">
        <f t="shared" si="6"/>
        <v>5</v>
      </c>
      <c r="D113" s="2">
        <f t="shared" si="7"/>
        <v>11</v>
      </c>
      <c r="E113" s="2" t="str">
        <f t="shared" si="8"/>
        <v/>
      </c>
      <c r="F113" s="2"/>
      <c r="G113" s="2"/>
      <c r="K113" t="str">
        <f t="shared" si="9"/>
        <v>case L'': bmcode = 0x025B; break;</v>
      </c>
    </row>
    <row r="114" spans="2:11" ht="26.5" customHeight="1">
      <c r="B114" s="2">
        <v>92</v>
      </c>
      <c r="C114" s="2">
        <f t="shared" si="6"/>
        <v>5</v>
      </c>
      <c r="D114" s="2">
        <f t="shared" si="7"/>
        <v>12</v>
      </c>
      <c r="E114" s="2" t="str">
        <f t="shared" si="8"/>
        <v/>
      </c>
      <c r="F114" s="2"/>
      <c r="G114" s="2"/>
      <c r="K114" t="str">
        <f t="shared" si="9"/>
        <v>case L'': bmcode = 0x025C; break;</v>
      </c>
    </row>
    <row r="115" spans="2:11" ht="26.5" customHeight="1">
      <c r="B115" s="2">
        <v>93</v>
      </c>
      <c r="C115" s="2">
        <f t="shared" si="6"/>
        <v>5</v>
      </c>
      <c r="D115" s="2">
        <f t="shared" si="7"/>
        <v>13</v>
      </c>
      <c r="E115" s="2" t="str">
        <f t="shared" si="8"/>
        <v/>
      </c>
      <c r="F115" s="2"/>
      <c r="G115" s="2"/>
      <c r="K115" t="str">
        <f t="shared" si="9"/>
        <v>case L'': bmcode = 0x025D; break;</v>
      </c>
    </row>
    <row r="116" spans="2:11" ht="26.5" customHeight="1">
      <c r="B116" s="2">
        <v>94</v>
      </c>
      <c r="C116" s="2">
        <f t="shared" si="6"/>
        <v>5</v>
      </c>
      <c r="D116" s="2">
        <f t="shared" si="7"/>
        <v>14</v>
      </c>
      <c r="E116" s="2" t="str">
        <f t="shared" si="8"/>
        <v/>
      </c>
      <c r="F116" s="2"/>
      <c r="G116" s="2"/>
      <c r="K116" t="str">
        <f t="shared" si="9"/>
        <v>case L'': bmcode = 0x025E; break;</v>
      </c>
    </row>
    <row r="117" spans="2:11" ht="26.5" customHeight="1">
      <c r="B117" s="2">
        <v>95</v>
      </c>
      <c r="C117" s="2">
        <f t="shared" si="6"/>
        <v>5</v>
      </c>
      <c r="D117" s="2">
        <f t="shared" si="7"/>
        <v>15</v>
      </c>
      <c r="E117" s="2" t="str">
        <f t="shared" si="8"/>
        <v/>
      </c>
      <c r="F117" s="2"/>
      <c r="G117" s="2"/>
      <c r="K117" t="str">
        <f t="shared" si="9"/>
        <v>case L'': bmcode = 0x025F; break;</v>
      </c>
    </row>
    <row r="118" spans="2:11" ht="26.5" customHeight="1">
      <c r="B118" s="2">
        <v>96</v>
      </c>
      <c r="C118" s="2">
        <f t="shared" si="6"/>
        <v>6</v>
      </c>
      <c r="D118" s="2">
        <f t="shared" si="7"/>
        <v>0</v>
      </c>
      <c r="E118" s="2" t="str">
        <f t="shared" si="8"/>
        <v/>
      </c>
      <c r="F118" s="2"/>
      <c r="G118" s="2"/>
      <c r="K118" t="str">
        <f t="shared" si="9"/>
        <v>case L'': bmcode = 0x0260; break;</v>
      </c>
    </row>
    <row r="119" spans="2:11" ht="26.5" customHeight="1">
      <c r="B119" s="2">
        <v>97</v>
      </c>
      <c r="C119" s="2">
        <f t="shared" si="6"/>
        <v>6</v>
      </c>
      <c r="D119" s="2">
        <f t="shared" si="7"/>
        <v>1</v>
      </c>
      <c r="E119" s="2" t="str">
        <f t="shared" si="8"/>
        <v/>
      </c>
      <c r="F119" s="2"/>
      <c r="G119" s="2"/>
      <c r="K119" t="str">
        <f t="shared" si="9"/>
        <v>case L'': bmcode = 0x0261; break;</v>
      </c>
    </row>
    <row r="120" spans="2:11" ht="26.5" customHeight="1">
      <c r="B120" s="2">
        <v>98</v>
      </c>
      <c r="C120" s="2">
        <f t="shared" si="6"/>
        <v>6</v>
      </c>
      <c r="D120" s="2">
        <f t="shared" si="7"/>
        <v>2</v>
      </c>
      <c r="E120" s="2" t="str">
        <f t="shared" si="8"/>
        <v/>
      </c>
      <c r="F120" s="2"/>
      <c r="G120" s="2"/>
      <c r="K120" t="str">
        <f t="shared" si="9"/>
        <v>case L'': bmcode = 0x0262; break;</v>
      </c>
    </row>
    <row r="121" spans="2:11" ht="26.5" customHeight="1">
      <c r="B121" s="2">
        <v>99</v>
      </c>
      <c r="C121" s="2">
        <f t="shared" si="6"/>
        <v>6</v>
      </c>
      <c r="D121" s="2">
        <f t="shared" si="7"/>
        <v>3</v>
      </c>
      <c r="E121" s="2" t="str">
        <f t="shared" si="8"/>
        <v/>
      </c>
      <c r="F121" s="2"/>
      <c r="G121" s="2"/>
      <c r="K121" t="str">
        <f t="shared" si="9"/>
        <v>case L'': bmcode = 0x0263; break;</v>
      </c>
    </row>
    <row r="122" spans="2:11" ht="26.5" customHeight="1">
      <c r="B122" s="2">
        <v>100</v>
      </c>
      <c r="C122" s="2">
        <f t="shared" si="6"/>
        <v>6</v>
      </c>
      <c r="D122" s="2">
        <f t="shared" si="7"/>
        <v>4</v>
      </c>
      <c r="E122" s="2" t="str">
        <f t="shared" si="8"/>
        <v/>
      </c>
      <c r="F122" s="2"/>
      <c r="G122" s="2"/>
      <c r="K122" t="str">
        <f t="shared" si="9"/>
        <v>case L'': bmcode = 0x0264; break;</v>
      </c>
    </row>
    <row r="123" spans="2:11" ht="26.5" customHeight="1">
      <c r="B123" s="2">
        <v>101</v>
      </c>
      <c r="C123" s="2">
        <f t="shared" si="6"/>
        <v>6</v>
      </c>
      <c r="D123" s="2">
        <f t="shared" si="7"/>
        <v>5</v>
      </c>
      <c r="E123" s="2" t="str">
        <f t="shared" si="8"/>
        <v/>
      </c>
      <c r="F123" s="2"/>
      <c r="G123" s="2"/>
      <c r="K123" t="str">
        <f t="shared" si="9"/>
        <v>case L'': bmcode = 0x0265; break;</v>
      </c>
    </row>
    <row r="124" spans="2:11" ht="26.5" customHeight="1">
      <c r="B124" s="2">
        <v>102</v>
      </c>
      <c r="C124" s="2">
        <f t="shared" si="6"/>
        <v>6</v>
      </c>
      <c r="D124" s="2">
        <f t="shared" si="7"/>
        <v>6</v>
      </c>
      <c r="E124" s="2" t="str">
        <f t="shared" si="8"/>
        <v/>
      </c>
      <c r="F124" s="2"/>
      <c r="G124" s="2"/>
      <c r="K124" t="str">
        <f t="shared" si="9"/>
        <v>case L'': bmcode = 0x0266; break;</v>
      </c>
    </row>
    <row r="125" spans="2:11" ht="26.5" customHeight="1">
      <c r="B125" s="2">
        <v>103</v>
      </c>
      <c r="C125" s="2">
        <f t="shared" si="6"/>
        <v>6</v>
      </c>
      <c r="D125" s="2">
        <f t="shared" si="7"/>
        <v>7</v>
      </c>
      <c r="E125" s="2" t="str">
        <f t="shared" si="8"/>
        <v/>
      </c>
      <c r="F125" s="2"/>
      <c r="G125" s="2"/>
      <c r="K125" t="str">
        <f t="shared" si="9"/>
        <v>case L'': bmcode = 0x0267; break;</v>
      </c>
    </row>
    <row r="126" spans="2:11" ht="26.5" customHeight="1">
      <c r="B126" s="2">
        <v>104</v>
      </c>
      <c r="C126" s="2">
        <f t="shared" si="6"/>
        <v>6</v>
      </c>
      <c r="D126" s="2">
        <f t="shared" si="7"/>
        <v>8</v>
      </c>
      <c r="E126" s="2" t="str">
        <f t="shared" si="8"/>
        <v/>
      </c>
      <c r="F126" s="2"/>
      <c r="G126" s="2"/>
      <c r="K126" t="str">
        <f t="shared" si="9"/>
        <v>case L'': bmcode = 0x0268; break;</v>
      </c>
    </row>
    <row r="127" spans="2:11" ht="26.5" customHeight="1">
      <c r="B127" s="2">
        <v>105</v>
      </c>
      <c r="C127" s="2">
        <f t="shared" si="6"/>
        <v>6</v>
      </c>
      <c r="D127" s="2">
        <f t="shared" si="7"/>
        <v>9</v>
      </c>
      <c r="E127" s="2" t="str">
        <f t="shared" si="8"/>
        <v/>
      </c>
      <c r="F127" s="2"/>
      <c r="G127" s="2"/>
      <c r="K127" t="str">
        <f t="shared" si="9"/>
        <v>case L'': bmcode = 0x0269; break;</v>
      </c>
    </row>
    <row r="128" spans="2:11" ht="26.5" customHeight="1">
      <c r="B128" s="2">
        <v>106</v>
      </c>
      <c r="C128" s="2">
        <f t="shared" si="6"/>
        <v>6</v>
      </c>
      <c r="D128" s="2">
        <f t="shared" si="7"/>
        <v>10</v>
      </c>
      <c r="E128" s="2" t="str">
        <f t="shared" si="8"/>
        <v/>
      </c>
      <c r="F128" s="2"/>
      <c r="G128" s="2"/>
      <c r="K128" t="str">
        <f t="shared" si="9"/>
        <v>case L'': bmcode = 0x026A; break;</v>
      </c>
    </row>
    <row r="129" spans="2:11" ht="26.5" customHeight="1">
      <c r="B129" s="2">
        <v>107</v>
      </c>
      <c r="C129" s="2">
        <f t="shared" si="6"/>
        <v>6</v>
      </c>
      <c r="D129" s="2">
        <f t="shared" si="7"/>
        <v>11</v>
      </c>
      <c r="E129" s="2" t="str">
        <f t="shared" si="8"/>
        <v/>
      </c>
      <c r="F129" s="2"/>
      <c r="G129" s="2"/>
      <c r="K129" t="str">
        <f t="shared" si="9"/>
        <v>case L'': bmcode = 0x026B; break;</v>
      </c>
    </row>
    <row r="130" spans="2:11" ht="26.5" customHeight="1">
      <c r="B130" s="2">
        <v>108</v>
      </c>
      <c r="C130" s="2">
        <f t="shared" si="6"/>
        <v>6</v>
      </c>
      <c r="D130" s="2">
        <f t="shared" si="7"/>
        <v>12</v>
      </c>
      <c r="E130" s="2" t="str">
        <f t="shared" si="8"/>
        <v/>
      </c>
      <c r="F130" s="2"/>
      <c r="G130" s="2"/>
      <c r="K130" t="str">
        <f t="shared" si="9"/>
        <v>case L'': bmcode = 0x026C; break;</v>
      </c>
    </row>
    <row r="131" spans="2:11" ht="26.5" customHeight="1">
      <c r="B131" s="2">
        <v>109</v>
      </c>
      <c r="C131" s="2">
        <f t="shared" si="6"/>
        <v>6</v>
      </c>
      <c r="D131" s="2">
        <f t="shared" si="7"/>
        <v>13</v>
      </c>
      <c r="E131" s="2" t="str">
        <f t="shared" si="8"/>
        <v/>
      </c>
      <c r="F131" s="2"/>
      <c r="G131" s="2"/>
      <c r="K131" t="str">
        <f t="shared" si="9"/>
        <v>case L'': bmcode = 0x026D; break;</v>
      </c>
    </row>
    <row r="132" spans="2:11" ht="26.5" customHeight="1">
      <c r="B132" s="2">
        <v>110</v>
      </c>
      <c r="C132" s="2">
        <f t="shared" si="6"/>
        <v>6</v>
      </c>
      <c r="D132" s="2">
        <f t="shared" si="7"/>
        <v>14</v>
      </c>
      <c r="E132" s="2" t="str">
        <f t="shared" si="8"/>
        <v/>
      </c>
      <c r="F132" s="2"/>
      <c r="G132" s="2"/>
      <c r="K132" t="str">
        <f t="shared" si="9"/>
        <v>case L'': bmcode = 0x026E; break;</v>
      </c>
    </row>
    <row r="133" spans="2:11" ht="26.5" customHeight="1">
      <c r="B133" s="2">
        <v>111</v>
      </c>
      <c r="C133" s="2">
        <f t="shared" si="6"/>
        <v>6</v>
      </c>
      <c r="D133" s="2">
        <f t="shared" si="7"/>
        <v>15</v>
      </c>
      <c r="E133" s="2" t="str">
        <f t="shared" si="8"/>
        <v/>
      </c>
      <c r="F133" s="2"/>
      <c r="G133" s="2"/>
      <c r="K133" t="str">
        <f t="shared" si="9"/>
        <v>case L'': bmcode = 0x026F; break;</v>
      </c>
    </row>
    <row r="134" spans="2:11" ht="26.5" customHeight="1">
      <c r="B134" s="2">
        <v>112</v>
      </c>
      <c r="C134" s="2">
        <f t="shared" si="6"/>
        <v>7</v>
      </c>
      <c r="D134" s="2">
        <f t="shared" si="7"/>
        <v>0</v>
      </c>
      <c r="E134" s="2" t="str">
        <f t="shared" si="8"/>
        <v/>
      </c>
      <c r="F134" s="2"/>
      <c r="G134" s="2"/>
      <c r="K134" t="str">
        <f t="shared" si="9"/>
        <v>case L'': bmcode = 0x0270; break;</v>
      </c>
    </row>
    <row r="135" spans="2:11" ht="26.5" customHeight="1">
      <c r="B135" s="2">
        <v>113</v>
      </c>
      <c r="C135" s="2">
        <f t="shared" si="6"/>
        <v>7</v>
      </c>
      <c r="D135" s="2">
        <f t="shared" si="7"/>
        <v>1</v>
      </c>
      <c r="E135" s="2" t="str">
        <f t="shared" si="8"/>
        <v/>
      </c>
      <c r="F135" s="2"/>
      <c r="G135" s="2"/>
      <c r="K135" t="str">
        <f t="shared" si="9"/>
        <v>case L'': bmcode = 0x0271; break;</v>
      </c>
    </row>
    <row r="136" spans="2:11" ht="26.5" customHeight="1">
      <c r="B136" s="2">
        <v>114</v>
      </c>
      <c r="C136" s="2">
        <f t="shared" si="6"/>
        <v>7</v>
      </c>
      <c r="D136" s="2">
        <f t="shared" si="7"/>
        <v>2</v>
      </c>
      <c r="E136" s="2" t="str">
        <f t="shared" si="8"/>
        <v/>
      </c>
      <c r="F136" s="2"/>
      <c r="G136" s="2"/>
      <c r="K136" t="str">
        <f t="shared" si="9"/>
        <v>case L'': bmcode = 0x0272; break;</v>
      </c>
    </row>
    <row r="137" spans="2:11" ht="26.5" customHeight="1">
      <c r="B137" s="2">
        <v>115</v>
      </c>
      <c r="C137" s="2">
        <f t="shared" si="6"/>
        <v>7</v>
      </c>
      <c r="D137" s="2">
        <f t="shared" si="7"/>
        <v>3</v>
      </c>
      <c r="E137" s="2" t="str">
        <f t="shared" si="8"/>
        <v/>
      </c>
      <c r="F137" s="2"/>
      <c r="G137" s="2"/>
      <c r="K137" t="str">
        <f t="shared" si="9"/>
        <v>case L'': bmcode = 0x0273; break;</v>
      </c>
    </row>
    <row r="138" spans="2:11" ht="26.5" customHeight="1">
      <c r="B138" s="2">
        <v>116</v>
      </c>
      <c r="C138" s="2">
        <f t="shared" si="6"/>
        <v>7</v>
      </c>
      <c r="D138" s="2">
        <f t="shared" si="7"/>
        <v>4</v>
      </c>
      <c r="E138" s="2" t="str">
        <f t="shared" si="8"/>
        <v/>
      </c>
      <c r="F138" s="2"/>
      <c r="G138" s="2"/>
      <c r="K138" t="str">
        <f t="shared" si="9"/>
        <v>case L'': bmcode = 0x0274; break;</v>
      </c>
    </row>
    <row r="139" spans="2:11" ht="26.5" customHeight="1">
      <c r="B139" s="2">
        <v>117</v>
      </c>
      <c r="C139" s="2">
        <f t="shared" si="6"/>
        <v>7</v>
      </c>
      <c r="D139" s="2">
        <f t="shared" si="7"/>
        <v>5</v>
      </c>
      <c r="E139" s="2" t="str">
        <f t="shared" si="8"/>
        <v/>
      </c>
      <c r="F139" s="2"/>
      <c r="G139" s="2"/>
      <c r="K139" t="str">
        <f t="shared" si="9"/>
        <v>case L'': bmcode = 0x0275; break;</v>
      </c>
    </row>
    <row r="140" spans="2:11" ht="26.5" customHeight="1">
      <c r="B140" s="2">
        <v>118</v>
      </c>
      <c r="C140" s="2">
        <f t="shared" si="6"/>
        <v>7</v>
      </c>
      <c r="D140" s="2">
        <f t="shared" si="7"/>
        <v>6</v>
      </c>
      <c r="E140" s="2" t="str">
        <f t="shared" si="8"/>
        <v/>
      </c>
      <c r="F140" s="2"/>
      <c r="G140" s="2"/>
      <c r="K140" t="str">
        <f t="shared" si="9"/>
        <v>case L'': bmcode = 0x0276; break;</v>
      </c>
    </row>
    <row r="141" spans="2:11" ht="26.5" customHeight="1">
      <c r="B141" s="2">
        <v>119</v>
      </c>
      <c r="C141" s="2">
        <f t="shared" si="6"/>
        <v>7</v>
      </c>
      <c r="D141" s="2">
        <f t="shared" si="7"/>
        <v>7</v>
      </c>
      <c r="E141" s="2" t="str">
        <f t="shared" si="8"/>
        <v/>
      </c>
      <c r="F141" s="2"/>
      <c r="G141" s="2"/>
      <c r="K141" t="str">
        <f t="shared" si="9"/>
        <v>case L'': bmcode = 0x0277; break;</v>
      </c>
    </row>
    <row r="142" spans="2:11" ht="26.5" customHeight="1">
      <c r="B142" s="2">
        <v>120</v>
      </c>
      <c r="C142" s="2">
        <f t="shared" si="6"/>
        <v>7</v>
      </c>
      <c r="D142" s="2">
        <f t="shared" si="7"/>
        <v>8</v>
      </c>
      <c r="E142" s="2" t="str">
        <f t="shared" si="8"/>
        <v/>
      </c>
      <c r="F142" s="2"/>
      <c r="G142" s="2"/>
      <c r="K142" t="str">
        <f t="shared" si="9"/>
        <v>case L'': bmcode = 0x0278; break;</v>
      </c>
    </row>
    <row r="143" spans="2:11" ht="26.5" customHeight="1">
      <c r="B143" s="2">
        <v>121</v>
      </c>
      <c r="C143" s="2">
        <f t="shared" si="6"/>
        <v>7</v>
      </c>
      <c r="D143" s="2">
        <f t="shared" si="7"/>
        <v>9</v>
      </c>
      <c r="E143" s="2" t="str">
        <f t="shared" si="8"/>
        <v/>
      </c>
      <c r="F143" s="2"/>
      <c r="G143" s="2"/>
      <c r="K143" t="str">
        <f t="shared" si="9"/>
        <v>case L'': bmcode = 0x0279; break;</v>
      </c>
    </row>
    <row r="144" spans="2:11" ht="26.5" customHeight="1">
      <c r="B144" s="2">
        <v>122</v>
      </c>
      <c r="C144" s="2">
        <f t="shared" si="6"/>
        <v>7</v>
      </c>
      <c r="D144" s="2">
        <f t="shared" si="7"/>
        <v>10</v>
      </c>
      <c r="E144" s="2" t="str">
        <f t="shared" si="8"/>
        <v/>
      </c>
      <c r="F144" s="2"/>
      <c r="G144" s="2"/>
      <c r="K144" t="str">
        <f t="shared" si="9"/>
        <v>case L'': bmcode = 0x027A; break;</v>
      </c>
    </row>
    <row r="145" spans="2:11" ht="26.5" customHeight="1">
      <c r="B145" s="2">
        <v>123</v>
      </c>
      <c r="C145" s="2">
        <f t="shared" si="6"/>
        <v>7</v>
      </c>
      <c r="D145" s="2">
        <f t="shared" si="7"/>
        <v>11</v>
      </c>
      <c r="E145" s="2" t="str">
        <f t="shared" si="8"/>
        <v/>
      </c>
      <c r="F145" s="2"/>
      <c r="G145" s="2"/>
      <c r="K145" t="str">
        <f t="shared" si="9"/>
        <v>case L'': bmcode = 0x027B; break;</v>
      </c>
    </row>
    <row r="146" spans="2:11" ht="26.5" customHeight="1">
      <c r="B146" s="2">
        <v>124</v>
      </c>
      <c r="C146" s="2">
        <f t="shared" si="6"/>
        <v>7</v>
      </c>
      <c r="D146" s="2">
        <f t="shared" si="7"/>
        <v>12</v>
      </c>
      <c r="E146" s="2" t="str">
        <f t="shared" si="8"/>
        <v/>
      </c>
      <c r="F146" s="2"/>
      <c r="G146" s="2"/>
      <c r="K146" t="str">
        <f t="shared" si="9"/>
        <v>case L'': bmcode = 0x027C; break;</v>
      </c>
    </row>
    <row r="147" spans="2:11" ht="26.5" customHeight="1">
      <c r="B147" s="2">
        <v>125</v>
      </c>
      <c r="C147" s="2">
        <f t="shared" si="6"/>
        <v>7</v>
      </c>
      <c r="D147" s="2">
        <f t="shared" si="7"/>
        <v>13</v>
      </c>
      <c r="E147" s="2" t="str">
        <f t="shared" si="8"/>
        <v/>
      </c>
      <c r="F147" s="2"/>
      <c r="G147" s="2"/>
      <c r="K147" t="str">
        <f t="shared" si="9"/>
        <v>case L'': bmcode = 0x027D; break;</v>
      </c>
    </row>
    <row r="148" spans="2:11" ht="26.5" customHeight="1">
      <c r="B148" s="2">
        <v>126</v>
      </c>
      <c r="C148" s="2">
        <f t="shared" si="6"/>
        <v>7</v>
      </c>
      <c r="D148" s="2">
        <f t="shared" si="7"/>
        <v>14</v>
      </c>
      <c r="E148" s="2" t="str">
        <f t="shared" si="8"/>
        <v/>
      </c>
      <c r="F148" s="2"/>
      <c r="G148" s="2"/>
      <c r="K148" t="str">
        <f t="shared" si="9"/>
        <v>case L'': bmcode = 0x027E; break;</v>
      </c>
    </row>
    <row r="149" spans="2:11" ht="26.5" customHeight="1">
      <c r="B149" s="2">
        <v>127</v>
      </c>
      <c r="C149" s="2">
        <f t="shared" si="6"/>
        <v>7</v>
      </c>
      <c r="D149" s="2">
        <f t="shared" si="7"/>
        <v>15</v>
      </c>
      <c r="E149" s="2" t="str">
        <f t="shared" si="8"/>
        <v/>
      </c>
      <c r="F149" s="2"/>
      <c r="G149" s="2"/>
      <c r="K149" t="str">
        <f t="shared" si="9"/>
        <v>case L'': bmcode = 0x027F; break;</v>
      </c>
    </row>
    <row r="150" spans="2:11" ht="26.5" customHeight="1">
      <c r="B150" s="2">
        <v>128</v>
      </c>
      <c r="C150" s="2">
        <f t="shared" si="6"/>
        <v>8</v>
      </c>
      <c r="D150" s="2">
        <f t="shared" si="7"/>
        <v>0</v>
      </c>
      <c r="E150" s="2" t="str">
        <f t="shared" si="8"/>
        <v/>
      </c>
      <c r="F150" s="2"/>
      <c r="G150" s="2"/>
      <c r="K150" t="str">
        <f t="shared" si="9"/>
        <v>case L'': bmcode = 0x0280; break;</v>
      </c>
    </row>
    <row r="151" spans="2:11" ht="26.5" customHeight="1">
      <c r="B151" s="2">
        <v>129</v>
      </c>
      <c r="C151" s="2">
        <f t="shared" ref="C151:C214" si="10">ROUNDDOWN(B151/16,0)</f>
        <v>8</v>
      </c>
      <c r="D151" s="2">
        <f t="shared" ref="D151:D214" si="11">MOD(B151,16)</f>
        <v>1</v>
      </c>
      <c r="E151" s="2" t="str">
        <f t="shared" ref="E151:E214" si="12">IF(INDEX($C$3:$R$18,C151+1,D151+1)="","",INDEX($C$3:$R$18,C151+1,D151+1))</f>
        <v/>
      </c>
      <c r="F151" s="2"/>
      <c r="G151" s="2"/>
      <c r="K151" t="str">
        <f t="shared" ref="K151:K214" si="13">"case "&amp;"L'"&amp;E151&amp;"'"&amp;": "&amp;"bmcode = 0x"&amp;RIGHT("0000"&amp;DEC2HEX($K$19*256+C151*16+D151),4)&amp;"; break;"</f>
        <v>case L'': bmcode = 0x0281; break;</v>
      </c>
    </row>
    <row r="152" spans="2:11" ht="26.5" customHeight="1">
      <c r="B152" s="2">
        <v>130</v>
      </c>
      <c r="C152" s="2">
        <f t="shared" si="10"/>
        <v>8</v>
      </c>
      <c r="D152" s="2">
        <f t="shared" si="11"/>
        <v>2</v>
      </c>
      <c r="E152" s="2" t="str">
        <f t="shared" si="12"/>
        <v/>
      </c>
      <c r="F152" s="2"/>
      <c r="G152" s="2"/>
      <c r="K152" t="str">
        <f t="shared" si="13"/>
        <v>case L'': bmcode = 0x0282; break;</v>
      </c>
    </row>
    <row r="153" spans="2:11" ht="26.5" customHeight="1">
      <c r="B153" s="2">
        <v>131</v>
      </c>
      <c r="C153" s="2">
        <f t="shared" si="10"/>
        <v>8</v>
      </c>
      <c r="D153" s="2">
        <f t="shared" si="11"/>
        <v>3</v>
      </c>
      <c r="E153" s="2" t="str">
        <f t="shared" si="12"/>
        <v/>
      </c>
      <c r="F153" s="2"/>
      <c r="G153" s="2"/>
      <c r="K153" t="str">
        <f t="shared" si="13"/>
        <v>case L'': bmcode = 0x0283; break;</v>
      </c>
    </row>
    <row r="154" spans="2:11" ht="26.5" customHeight="1">
      <c r="B154" s="2">
        <v>132</v>
      </c>
      <c r="C154" s="2">
        <f t="shared" si="10"/>
        <v>8</v>
      </c>
      <c r="D154" s="2">
        <f t="shared" si="11"/>
        <v>4</v>
      </c>
      <c r="E154" s="2" t="str">
        <f t="shared" si="12"/>
        <v/>
      </c>
      <c r="F154" s="2"/>
      <c r="G154" s="2"/>
      <c r="K154" t="str">
        <f t="shared" si="13"/>
        <v>case L'': bmcode = 0x0284; break;</v>
      </c>
    </row>
    <row r="155" spans="2:11" ht="26.5" customHeight="1">
      <c r="B155" s="2">
        <v>133</v>
      </c>
      <c r="C155" s="2">
        <f t="shared" si="10"/>
        <v>8</v>
      </c>
      <c r="D155" s="2">
        <f t="shared" si="11"/>
        <v>5</v>
      </c>
      <c r="E155" s="2" t="str">
        <f t="shared" si="12"/>
        <v/>
      </c>
      <c r="F155" s="2"/>
      <c r="G155" s="2"/>
      <c r="K155" t="str">
        <f t="shared" si="13"/>
        <v>case L'': bmcode = 0x0285; break;</v>
      </c>
    </row>
    <row r="156" spans="2:11" ht="26.5" customHeight="1">
      <c r="B156" s="2">
        <v>134</v>
      </c>
      <c r="C156" s="2">
        <f t="shared" si="10"/>
        <v>8</v>
      </c>
      <c r="D156" s="2">
        <f t="shared" si="11"/>
        <v>6</v>
      </c>
      <c r="E156" s="2" t="str">
        <f t="shared" si="12"/>
        <v/>
      </c>
      <c r="F156" s="2"/>
      <c r="G156" s="2"/>
      <c r="K156" t="str">
        <f t="shared" si="13"/>
        <v>case L'': bmcode = 0x0286; break;</v>
      </c>
    </row>
    <row r="157" spans="2:11" ht="26.5" customHeight="1">
      <c r="B157" s="2">
        <v>135</v>
      </c>
      <c r="C157" s="2">
        <f t="shared" si="10"/>
        <v>8</v>
      </c>
      <c r="D157" s="2">
        <f t="shared" si="11"/>
        <v>7</v>
      </c>
      <c r="E157" s="2" t="str">
        <f t="shared" si="12"/>
        <v/>
      </c>
      <c r="F157" s="2"/>
      <c r="G157" s="2"/>
      <c r="K157" t="str">
        <f t="shared" si="13"/>
        <v>case L'': bmcode = 0x0287; break;</v>
      </c>
    </row>
    <row r="158" spans="2:11" ht="26.5" customHeight="1">
      <c r="B158" s="2">
        <v>136</v>
      </c>
      <c r="C158" s="2">
        <f t="shared" si="10"/>
        <v>8</v>
      </c>
      <c r="D158" s="2">
        <f t="shared" si="11"/>
        <v>8</v>
      </c>
      <c r="E158" s="2" t="str">
        <f t="shared" si="12"/>
        <v/>
      </c>
      <c r="F158" s="2"/>
      <c r="G158" s="2"/>
      <c r="K158" t="str">
        <f t="shared" si="13"/>
        <v>case L'': bmcode = 0x0288; break;</v>
      </c>
    </row>
    <row r="159" spans="2:11" ht="26.5" customHeight="1">
      <c r="B159" s="2">
        <v>137</v>
      </c>
      <c r="C159" s="2">
        <f t="shared" si="10"/>
        <v>8</v>
      </c>
      <c r="D159" s="2">
        <f t="shared" si="11"/>
        <v>9</v>
      </c>
      <c r="E159" s="2" t="str">
        <f t="shared" si="12"/>
        <v/>
      </c>
      <c r="F159" s="2"/>
      <c r="G159" s="2"/>
      <c r="K159" t="str">
        <f t="shared" si="13"/>
        <v>case L'': bmcode = 0x0289; break;</v>
      </c>
    </row>
    <row r="160" spans="2:11" ht="26.5" customHeight="1">
      <c r="B160" s="2">
        <v>138</v>
      </c>
      <c r="C160" s="2">
        <f t="shared" si="10"/>
        <v>8</v>
      </c>
      <c r="D160" s="2">
        <f t="shared" si="11"/>
        <v>10</v>
      </c>
      <c r="E160" s="2" t="str">
        <f t="shared" si="12"/>
        <v/>
      </c>
      <c r="F160" s="2"/>
      <c r="G160" s="2"/>
      <c r="K160" t="str">
        <f t="shared" si="13"/>
        <v>case L'': bmcode = 0x028A; break;</v>
      </c>
    </row>
    <row r="161" spans="2:11" ht="26.5" customHeight="1">
      <c r="B161" s="2">
        <v>139</v>
      </c>
      <c r="C161" s="2">
        <f t="shared" si="10"/>
        <v>8</v>
      </c>
      <c r="D161" s="2">
        <f t="shared" si="11"/>
        <v>11</v>
      </c>
      <c r="E161" s="2" t="str">
        <f t="shared" si="12"/>
        <v/>
      </c>
      <c r="F161" s="2"/>
      <c r="G161" s="2"/>
      <c r="K161" t="str">
        <f t="shared" si="13"/>
        <v>case L'': bmcode = 0x028B; break;</v>
      </c>
    </row>
    <row r="162" spans="2:11" ht="26.5" customHeight="1">
      <c r="B162" s="2">
        <v>140</v>
      </c>
      <c r="C162" s="2">
        <f t="shared" si="10"/>
        <v>8</v>
      </c>
      <c r="D162" s="2">
        <f t="shared" si="11"/>
        <v>12</v>
      </c>
      <c r="E162" s="2" t="str">
        <f t="shared" si="12"/>
        <v/>
      </c>
      <c r="F162" s="2"/>
      <c r="G162" s="2"/>
      <c r="K162" t="str">
        <f t="shared" si="13"/>
        <v>case L'': bmcode = 0x028C; break;</v>
      </c>
    </row>
    <row r="163" spans="2:11" ht="26.5" customHeight="1">
      <c r="B163" s="2">
        <v>141</v>
      </c>
      <c r="C163" s="2">
        <f t="shared" si="10"/>
        <v>8</v>
      </c>
      <c r="D163" s="2">
        <f t="shared" si="11"/>
        <v>13</v>
      </c>
      <c r="E163" s="2" t="str">
        <f t="shared" si="12"/>
        <v/>
      </c>
      <c r="F163" s="2"/>
      <c r="G163" s="2"/>
      <c r="K163" t="str">
        <f t="shared" si="13"/>
        <v>case L'': bmcode = 0x028D; break;</v>
      </c>
    </row>
    <row r="164" spans="2:11" ht="26.5" customHeight="1">
      <c r="B164" s="2">
        <v>142</v>
      </c>
      <c r="C164" s="2">
        <f t="shared" si="10"/>
        <v>8</v>
      </c>
      <c r="D164" s="2">
        <f t="shared" si="11"/>
        <v>14</v>
      </c>
      <c r="E164" s="2" t="str">
        <f t="shared" si="12"/>
        <v/>
      </c>
      <c r="F164" s="2"/>
      <c r="G164" s="2"/>
      <c r="K164" t="str">
        <f t="shared" si="13"/>
        <v>case L'': bmcode = 0x028E; break;</v>
      </c>
    </row>
    <row r="165" spans="2:11" ht="26.5" customHeight="1">
      <c r="B165" s="2">
        <v>143</v>
      </c>
      <c r="C165" s="2">
        <f t="shared" si="10"/>
        <v>8</v>
      </c>
      <c r="D165" s="2">
        <f t="shared" si="11"/>
        <v>15</v>
      </c>
      <c r="E165" s="2" t="str">
        <f t="shared" si="12"/>
        <v/>
      </c>
      <c r="F165" s="2"/>
      <c r="G165" s="2"/>
      <c r="K165" t="str">
        <f t="shared" si="13"/>
        <v>case L'': bmcode = 0x028F; break;</v>
      </c>
    </row>
    <row r="166" spans="2:11" ht="26.5" customHeight="1">
      <c r="B166" s="2">
        <v>144</v>
      </c>
      <c r="C166" s="2">
        <f t="shared" si="10"/>
        <v>9</v>
      </c>
      <c r="D166" s="2">
        <f t="shared" si="11"/>
        <v>0</v>
      </c>
      <c r="E166" s="2" t="str">
        <f t="shared" si="12"/>
        <v/>
      </c>
      <c r="F166" s="2"/>
      <c r="G166" s="2"/>
      <c r="K166" t="str">
        <f t="shared" si="13"/>
        <v>case L'': bmcode = 0x0290; break;</v>
      </c>
    </row>
    <row r="167" spans="2:11" ht="26.5" customHeight="1">
      <c r="B167" s="2">
        <v>145</v>
      </c>
      <c r="C167" s="2">
        <f t="shared" si="10"/>
        <v>9</v>
      </c>
      <c r="D167" s="2">
        <f t="shared" si="11"/>
        <v>1</v>
      </c>
      <c r="E167" s="2" t="str">
        <f t="shared" si="12"/>
        <v/>
      </c>
      <c r="F167" s="2"/>
      <c r="G167" s="2"/>
      <c r="K167" t="str">
        <f t="shared" si="13"/>
        <v>case L'': bmcode = 0x0291; break;</v>
      </c>
    </row>
    <row r="168" spans="2:11" ht="26.5" customHeight="1">
      <c r="B168" s="2">
        <v>146</v>
      </c>
      <c r="C168" s="2">
        <f t="shared" si="10"/>
        <v>9</v>
      </c>
      <c r="D168" s="2">
        <f t="shared" si="11"/>
        <v>2</v>
      </c>
      <c r="E168" s="2" t="str">
        <f t="shared" si="12"/>
        <v/>
      </c>
      <c r="F168" s="2"/>
      <c r="G168" s="2"/>
      <c r="K168" t="str">
        <f t="shared" si="13"/>
        <v>case L'': bmcode = 0x0292; break;</v>
      </c>
    </row>
    <row r="169" spans="2:11" ht="26.5" customHeight="1">
      <c r="B169" s="2">
        <v>147</v>
      </c>
      <c r="C169" s="2">
        <f t="shared" si="10"/>
        <v>9</v>
      </c>
      <c r="D169" s="2">
        <f t="shared" si="11"/>
        <v>3</v>
      </c>
      <c r="E169" s="2" t="str">
        <f t="shared" si="12"/>
        <v/>
      </c>
      <c r="F169" s="2"/>
      <c r="G169" s="2"/>
      <c r="K169" t="str">
        <f t="shared" si="13"/>
        <v>case L'': bmcode = 0x0293; break;</v>
      </c>
    </row>
    <row r="170" spans="2:11" ht="26.5" customHeight="1">
      <c r="B170" s="2">
        <v>148</v>
      </c>
      <c r="C170" s="2">
        <f t="shared" si="10"/>
        <v>9</v>
      </c>
      <c r="D170" s="2">
        <f t="shared" si="11"/>
        <v>4</v>
      </c>
      <c r="E170" s="2" t="str">
        <f t="shared" si="12"/>
        <v/>
      </c>
      <c r="F170" s="2"/>
      <c r="G170" s="2"/>
      <c r="K170" t="str">
        <f t="shared" si="13"/>
        <v>case L'': bmcode = 0x0294; break;</v>
      </c>
    </row>
    <row r="171" spans="2:11" ht="26.5" customHeight="1">
      <c r="B171" s="2">
        <v>149</v>
      </c>
      <c r="C171" s="2">
        <f t="shared" si="10"/>
        <v>9</v>
      </c>
      <c r="D171" s="2">
        <f t="shared" si="11"/>
        <v>5</v>
      </c>
      <c r="E171" s="2" t="str">
        <f t="shared" si="12"/>
        <v/>
      </c>
      <c r="F171" s="2"/>
      <c r="G171" s="2"/>
      <c r="K171" t="str">
        <f t="shared" si="13"/>
        <v>case L'': bmcode = 0x0295; break;</v>
      </c>
    </row>
    <row r="172" spans="2:11" ht="26.5" customHeight="1">
      <c r="B172" s="2">
        <v>150</v>
      </c>
      <c r="C172" s="2">
        <f t="shared" si="10"/>
        <v>9</v>
      </c>
      <c r="D172" s="2">
        <f t="shared" si="11"/>
        <v>6</v>
      </c>
      <c r="E172" s="2" t="str">
        <f t="shared" si="12"/>
        <v/>
      </c>
      <c r="F172" s="2"/>
      <c r="G172" s="2"/>
      <c r="K172" t="str">
        <f t="shared" si="13"/>
        <v>case L'': bmcode = 0x0296; break;</v>
      </c>
    </row>
    <row r="173" spans="2:11" ht="26.5" customHeight="1">
      <c r="B173" s="2">
        <v>151</v>
      </c>
      <c r="C173" s="2">
        <f t="shared" si="10"/>
        <v>9</v>
      </c>
      <c r="D173" s="2">
        <f t="shared" si="11"/>
        <v>7</v>
      </c>
      <c r="E173" s="2" t="str">
        <f t="shared" si="12"/>
        <v/>
      </c>
      <c r="F173" s="2"/>
      <c r="G173" s="2"/>
      <c r="K173" t="str">
        <f t="shared" si="13"/>
        <v>case L'': bmcode = 0x0297; break;</v>
      </c>
    </row>
    <row r="174" spans="2:11" ht="26.5" customHeight="1">
      <c r="B174" s="2">
        <v>152</v>
      </c>
      <c r="C174" s="2">
        <f t="shared" si="10"/>
        <v>9</v>
      </c>
      <c r="D174" s="2">
        <f t="shared" si="11"/>
        <v>8</v>
      </c>
      <c r="E174" s="2" t="str">
        <f t="shared" si="12"/>
        <v/>
      </c>
      <c r="F174" s="2"/>
      <c r="G174" s="2"/>
      <c r="K174" t="str">
        <f t="shared" si="13"/>
        <v>case L'': bmcode = 0x0298; break;</v>
      </c>
    </row>
    <row r="175" spans="2:11" ht="26.5" customHeight="1">
      <c r="B175" s="2">
        <v>153</v>
      </c>
      <c r="C175" s="2">
        <f t="shared" si="10"/>
        <v>9</v>
      </c>
      <c r="D175" s="2">
        <f t="shared" si="11"/>
        <v>9</v>
      </c>
      <c r="E175" s="2" t="str">
        <f t="shared" si="12"/>
        <v/>
      </c>
      <c r="F175" s="2"/>
      <c r="G175" s="2"/>
      <c r="K175" t="str">
        <f t="shared" si="13"/>
        <v>case L'': bmcode = 0x0299; break;</v>
      </c>
    </row>
    <row r="176" spans="2:11" ht="26.5" customHeight="1">
      <c r="B176" s="2">
        <v>154</v>
      </c>
      <c r="C176" s="2">
        <f t="shared" si="10"/>
        <v>9</v>
      </c>
      <c r="D176" s="2">
        <f t="shared" si="11"/>
        <v>10</v>
      </c>
      <c r="E176" s="2" t="str">
        <f t="shared" si="12"/>
        <v/>
      </c>
      <c r="F176" s="2"/>
      <c r="G176" s="2"/>
      <c r="K176" t="str">
        <f t="shared" si="13"/>
        <v>case L'': bmcode = 0x029A; break;</v>
      </c>
    </row>
    <row r="177" spans="2:11" ht="26.5" customHeight="1">
      <c r="B177" s="2">
        <v>155</v>
      </c>
      <c r="C177" s="2">
        <f t="shared" si="10"/>
        <v>9</v>
      </c>
      <c r="D177" s="2">
        <f t="shared" si="11"/>
        <v>11</v>
      </c>
      <c r="E177" s="2" t="str">
        <f t="shared" si="12"/>
        <v/>
      </c>
      <c r="F177" s="2"/>
      <c r="G177" s="2"/>
      <c r="K177" t="str">
        <f t="shared" si="13"/>
        <v>case L'': bmcode = 0x029B; break;</v>
      </c>
    </row>
    <row r="178" spans="2:11" ht="26.5" customHeight="1">
      <c r="B178" s="2">
        <v>156</v>
      </c>
      <c r="C178" s="2">
        <f t="shared" si="10"/>
        <v>9</v>
      </c>
      <c r="D178" s="2">
        <f t="shared" si="11"/>
        <v>12</v>
      </c>
      <c r="E178" s="2" t="str">
        <f t="shared" si="12"/>
        <v/>
      </c>
      <c r="F178" s="2"/>
      <c r="G178" s="2"/>
      <c r="K178" t="str">
        <f t="shared" si="13"/>
        <v>case L'': bmcode = 0x029C; break;</v>
      </c>
    </row>
    <row r="179" spans="2:11" ht="26.5" customHeight="1">
      <c r="B179" s="2">
        <v>157</v>
      </c>
      <c r="C179" s="2">
        <f t="shared" si="10"/>
        <v>9</v>
      </c>
      <c r="D179" s="2">
        <f t="shared" si="11"/>
        <v>13</v>
      </c>
      <c r="E179" s="2" t="str">
        <f t="shared" si="12"/>
        <v/>
      </c>
      <c r="F179" s="2"/>
      <c r="G179" s="2"/>
      <c r="K179" t="str">
        <f t="shared" si="13"/>
        <v>case L'': bmcode = 0x029D; break;</v>
      </c>
    </row>
    <row r="180" spans="2:11" ht="26.5" customHeight="1">
      <c r="B180" s="2">
        <v>158</v>
      </c>
      <c r="C180" s="2">
        <f t="shared" si="10"/>
        <v>9</v>
      </c>
      <c r="D180" s="2">
        <f t="shared" si="11"/>
        <v>14</v>
      </c>
      <c r="E180" s="2" t="str">
        <f t="shared" si="12"/>
        <v/>
      </c>
      <c r="F180" s="2"/>
      <c r="G180" s="2"/>
      <c r="K180" t="str">
        <f t="shared" si="13"/>
        <v>case L'': bmcode = 0x029E; break;</v>
      </c>
    </row>
    <row r="181" spans="2:11" ht="26.5" customHeight="1">
      <c r="B181" s="2">
        <v>159</v>
      </c>
      <c r="C181" s="2">
        <f t="shared" si="10"/>
        <v>9</v>
      </c>
      <c r="D181" s="2">
        <f t="shared" si="11"/>
        <v>15</v>
      </c>
      <c r="E181" s="2" t="str">
        <f t="shared" si="12"/>
        <v/>
      </c>
      <c r="F181" s="2"/>
      <c r="G181" s="2"/>
      <c r="K181" t="str">
        <f t="shared" si="13"/>
        <v>case L'': bmcode = 0x029F; break;</v>
      </c>
    </row>
    <row r="182" spans="2:11" ht="26.5" customHeight="1">
      <c r="B182" s="2">
        <v>160</v>
      </c>
      <c r="C182" s="2">
        <f t="shared" si="10"/>
        <v>10</v>
      </c>
      <c r="D182" s="2">
        <f t="shared" si="11"/>
        <v>0</v>
      </c>
      <c r="E182" s="2" t="str">
        <f t="shared" si="12"/>
        <v/>
      </c>
      <c r="F182" s="2"/>
      <c r="G182" s="2"/>
      <c r="K182" t="str">
        <f t="shared" si="13"/>
        <v>case L'': bmcode = 0x02A0; break;</v>
      </c>
    </row>
    <row r="183" spans="2:11" ht="26.5" customHeight="1">
      <c r="B183" s="2">
        <v>161</v>
      </c>
      <c r="C183" s="2">
        <f t="shared" si="10"/>
        <v>10</v>
      </c>
      <c r="D183" s="2">
        <f t="shared" si="11"/>
        <v>1</v>
      </c>
      <c r="E183" s="2" t="str">
        <f t="shared" si="12"/>
        <v/>
      </c>
      <c r="F183" s="2"/>
      <c r="G183" s="2"/>
      <c r="K183" t="str">
        <f t="shared" si="13"/>
        <v>case L'': bmcode = 0x02A1; break;</v>
      </c>
    </row>
    <row r="184" spans="2:11" ht="26.5" customHeight="1">
      <c r="B184" s="2">
        <v>162</v>
      </c>
      <c r="C184" s="2">
        <f t="shared" si="10"/>
        <v>10</v>
      </c>
      <c r="D184" s="2">
        <f t="shared" si="11"/>
        <v>2</v>
      </c>
      <c r="E184" s="2" t="str">
        <f t="shared" si="12"/>
        <v/>
      </c>
      <c r="F184" s="2"/>
      <c r="G184" s="2"/>
      <c r="K184" t="str">
        <f t="shared" si="13"/>
        <v>case L'': bmcode = 0x02A2; break;</v>
      </c>
    </row>
    <row r="185" spans="2:11" ht="26.5" customHeight="1">
      <c r="B185" s="2">
        <v>163</v>
      </c>
      <c r="C185" s="2">
        <f t="shared" si="10"/>
        <v>10</v>
      </c>
      <c r="D185" s="2">
        <f t="shared" si="11"/>
        <v>3</v>
      </c>
      <c r="E185" s="2" t="str">
        <f t="shared" si="12"/>
        <v/>
      </c>
      <c r="F185" s="2"/>
      <c r="G185" s="2"/>
      <c r="K185" t="str">
        <f t="shared" si="13"/>
        <v>case L'': bmcode = 0x02A3; break;</v>
      </c>
    </row>
    <row r="186" spans="2:11" ht="26.5" customHeight="1">
      <c r="B186" s="2">
        <v>164</v>
      </c>
      <c r="C186" s="2">
        <f t="shared" si="10"/>
        <v>10</v>
      </c>
      <c r="D186" s="2">
        <f t="shared" si="11"/>
        <v>4</v>
      </c>
      <c r="E186" s="2" t="str">
        <f t="shared" si="12"/>
        <v/>
      </c>
      <c r="F186" s="2"/>
      <c r="G186" s="2"/>
      <c r="K186" t="str">
        <f t="shared" si="13"/>
        <v>case L'': bmcode = 0x02A4; break;</v>
      </c>
    </row>
    <row r="187" spans="2:11" ht="26.5" customHeight="1">
      <c r="B187" s="2">
        <v>165</v>
      </c>
      <c r="C187" s="2">
        <f t="shared" si="10"/>
        <v>10</v>
      </c>
      <c r="D187" s="2">
        <f t="shared" si="11"/>
        <v>5</v>
      </c>
      <c r="E187" s="2" t="str">
        <f t="shared" si="12"/>
        <v/>
      </c>
      <c r="F187" s="2"/>
      <c r="G187" s="2"/>
      <c r="K187" t="str">
        <f t="shared" si="13"/>
        <v>case L'': bmcode = 0x02A5; break;</v>
      </c>
    </row>
    <row r="188" spans="2:11" ht="26.5" customHeight="1">
      <c r="B188" s="2">
        <v>166</v>
      </c>
      <c r="C188" s="2">
        <f t="shared" si="10"/>
        <v>10</v>
      </c>
      <c r="D188" s="2">
        <f t="shared" si="11"/>
        <v>6</v>
      </c>
      <c r="E188" s="2" t="str">
        <f t="shared" si="12"/>
        <v/>
      </c>
      <c r="F188" s="2"/>
      <c r="G188" s="2"/>
      <c r="K188" t="str">
        <f t="shared" si="13"/>
        <v>case L'': bmcode = 0x02A6; break;</v>
      </c>
    </row>
    <row r="189" spans="2:11" ht="26.5" customHeight="1">
      <c r="B189" s="2">
        <v>167</v>
      </c>
      <c r="C189" s="2">
        <f t="shared" si="10"/>
        <v>10</v>
      </c>
      <c r="D189" s="2">
        <f t="shared" si="11"/>
        <v>7</v>
      </c>
      <c r="E189" s="2" t="str">
        <f t="shared" si="12"/>
        <v/>
      </c>
      <c r="F189" s="2"/>
      <c r="G189" s="2"/>
      <c r="K189" t="str">
        <f t="shared" si="13"/>
        <v>case L'': bmcode = 0x02A7; break;</v>
      </c>
    </row>
    <row r="190" spans="2:11" ht="26.5" customHeight="1">
      <c r="B190" s="2">
        <v>168</v>
      </c>
      <c r="C190" s="2">
        <f t="shared" si="10"/>
        <v>10</v>
      </c>
      <c r="D190" s="2">
        <f t="shared" si="11"/>
        <v>8</v>
      </c>
      <c r="E190" s="2" t="str">
        <f t="shared" si="12"/>
        <v/>
      </c>
      <c r="F190" s="2"/>
      <c r="G190" s="2"/>
      <c r="K190" t="str">
        <f t="shared" si="13"/>
        <v>case L'': bmcode = 0x02A8; break;</v>
      </c>
    </row>
    <row r="191" spans="2:11" ht="26.5" customHeight="1">
      <c r="B191" s="2">
        <v>169</v>
      </c>
      <c r="C191" s="2">
        <f t="shared" si="10"/>
        <v>10</v>
      </c>
      <c r="D191" s="2">
        <f t="shared" si="11"/>
        <v>9</v>
      </c>
      <c r="E191" s="2" t="str">
        <f t="shared" si="12"/>
        <v/>
      </c>
      <c r="F191" s="2"/>
      <c r="G191" s="2"/>
      <c r="K191" t="str">
        <f t="shared" si="13"/>
        <v>case L'': bmcode = 0x02A9; break;</v>
      </c>
    </row>
    <row r="192" spans="2:11" ht="26.5" customHeight="1">
      <c r="B192" s="2">
        <v>170</v>
      </c>
      <c r="C192" s="2">
        <f t="shared" si="10"/>
        <v>10</v>
      </c>
      <c r="D192" s="2">
        <f t="shared" si="11"/>
        <v>10</v>
      </c>
      <c r="E192" s="2" t="str">
        <f t="shared" si="12"/>
        <v/>
      </c>
      <c r="F192" s="2"/>
      <c r="G192" s="2"/>
      <c r="K192" t="str">
        <f t="shared" si="13"/>
        <v>case L'': bmcode = 0x02AA; break;</v>
      </c>
    </row>
    <row r="193" spans="2:11" ht="26.5" customHeight="1">
      <c r="B193" s="2">
        <v>171</v>
      </c>
      <c r="C193" s="2">
        <f t="shared" si="10"/>
        <v>10</v>
      </c>
      <c r="D193" s="2">
        <f t="shared" si="11"/>
        <v>11</v>
      </c>
      <c r="E193" s="2" t="str">
        <f t="shared" si="12"/>
        <v/>
      </c>
      <c r="F193" s="2"/>
      <c r="G193" s="2"/>
      <c r="K193" t="str">
        <f t="shared" si="13"/>
        <v>case L'': bmcode = 0x02AB; break;</v>
      </c>
    </row>
    <row r="194" spans="2:11" ht="26.5" customHeight="1">
      <c r="B194" s="2">
        <v>172</v>
      </c>
      <c r="C194" s="2">
        <f t="shared" si="10"/>
        <v>10</v>
      </c>
      <c r="D194" s="2">
        <f t="shared" si="11"/>
        <v>12</v>
      </c>
      <c r="E194" s="2" t="str">
        <f t="shared" si="12"/>
        <v/>
      </c>
      <c r="F194" s="2"/>
      <c r="G194" s="2"/>
      <c r="K194" t="str">
        <f t="shared" si="13"/>
        <v>case L'': bmcode = 0x02AC; break;</v>
      </c>
    </row>
    <row r="195" spans="2:11" ht="26.5" customHeight="1">
      <c r="B195" s="2">
        <v>173</v>
      </c>
      <c r="C195" s="2">
        <f t="shared" si="10"/>
        <v>10</v>
      </c>
      <c r="D195" s="2">
        <f t="shared" si="11"/>
        <v>13</v>
      </c>
      <c r="E195" s="2" t="str">
        <f t="shared" si="12"/>
        <v/>
      </c>
      <c r="F195" s="2"/>
      <c r="G195" s="2"/>
      <c r="K195" t="str">
        <f t="shared" si="13"/>
        <v>case L'': bmcode = 0x02AD; break;</v>
      </c>
    </row>
    <row r="196" spans="2:11" ht="26.5" customHeight="1">
      <c r="B196" s="2">
        <v>174</v>
      </c>
      <c r="C196" s="2">
        <f t="shared" si="10"/>
        <v>10</v>
      </c>
      <c r="D196" s="2">
        <f t="shared" si="11"/>
        <v>14</v>
      </c>
      <c r="E196" s="2" t="str">
        <f t="shared" si="12"/>
        <v/>
      </c>
      <c r="F196" s="2"/>
      <c r="G196" s="2"/>
      <c r="K196" t="str">
        <f t="shared" si="13"/>
        <v>case L'': bmcode = 0x02AE; break;</v>
      </c>
    </row>
    <row r="197" spans="2:11" ht="26.5" customHeight="1">
      <c r="B197" s="2">
        <v>175</v>
      </c>
      <c r="C197" s="2">
        <f t="shared" si="10"/>
        <v>10</v>
      </c>
      <c r="D197" s="2">
        <f t="shared" si="11"/>
        <v>15</v>
      </c>
      <c r="E197" s="2" t="str">
        <f t="shared" si="12"/>
        <v/>
      </c>
      <c r="F197" s="2"/>
      <c r="G197" s="2"/>
      <c r="K197" t="str">
        <f t="shared" si="13"/>
        <v>case L'': bmcode = 0x02AF; break;</v>
      </c>
    </row>
    <row r="198" spans="2:11" ht="26.5" customHeight="1">
      <c r="B198" s="2">
        <v>176</v>
      </c>
      <c r="C198" s="2">
        <f t="shared" si="10"/>
        <v>11</v>
      </c>
      <c r="D198" s="2">
        <f t="shared" si="11"/>
        <v>0</v>
      </c>
      <c r="E198" s="2" t="str">
        <f t="shared" si="12"/>
        <v/>
      </c>
      <c r="F198" s="2"/>
      <c r="G198" s="2"/>
      <c r="K198" t="str">
        <f t="shared" si="13"/>
        <v>case L'': bmcode = 0x02B0; break;</v>
      </c>
    </row>
    <row r="199" spans="2:11" ht="26.5" customHeight="1">
      <c r="B199" s="2">
        <v>177</v>
      </c>
      <c r="C199" s="2">
        <f t="shared" si="10"/>
        <v>11</v>
      </c>
      <c r="D199" s="2">
        <f t="shared" si="11"/>
        <v>1</v>
      </c>
      <c r="E199" s="2" t="str">
        <f t="shared" si="12"/>
        <v/>
      </c>
      <c r="F199" s="2"/>
      <c r="G199" s="2"/>
      <c r="K199" t="str">
        <f t="shared" si="13"/>
        <v>case L'': bmcode = 0x02B1; break;</v>
      </c>
    </row>
    <row r="200" spans="2:11" ht="26.5" customHeight="1">
      <c r="B200" s="2">
        <v>178</v>
      </c>
      <c r="C200" s="2">
        <f t="shared" si="10"/>
        <v>11</v>
      </c>
      <c r="D200" s="2">
        <f t="shared" si="11"/>
        <v>2</v>
      </c>
      <c r="E200" s="2" t="str">
        <f t="shared" si="12"/>
        <v/>
      </c>
      <c r="F200" s="2"/>
      <c r="G200" s="2"/>
      <c r="K200" t="str">
        <f t="shared" si="13"/>
        <v>case L'': bmcode = 0x02B2; break;</v>
      </c>
    </row>
    <row r="201" spans="2:11" ht="26.5" customHeight="1">
      <c r="B201" s="2">
        <v>179</v>
      </c>
      <c r="C201" s="2">
        <f t="shared" si="10"/>
        <v>11</v>
      </c>
      <c r="D201" s="2">
        <f t="shared" si="11"/>
        <v>3</v>
      </c>
      <c r="E201" s="2" t="str">
        <f t="shared" si="12"/>
        <v/>
      </c>
      <c r="F201" s="2"/>
      <c r="G201" s="2"/>
      <c r="K201" t="str">
        <f t="shared" si="13"/>
        <v>case L'': bmcode = 0x02B3; break;</v>
      </c>
    </row>
    <row r="202" spans="2:11" ht="26.5" customHeight="1">
      <c r="B202" s="2">
        <v>180</v>
      </c>
      <c r="C202" s="2">
        <f t="shared" si="10"/>
        <v>11</v>
      </c>
      <c r="D202" s="2">
        <f t="shared" si="11"/>
        <v>4</v>
      </c>
      <c r="E202" s="2" t="str">
        <f t="shared" si="12"/>
        <v/>
      </c>
      <c r="F202" s="2"/>
      <c r="G202" s="2"/>
      <c r="K202" t="str">
        <f t="shared" si="13"/>
        <v>case L'': bmcode = 0x02B4; break;</v>
      </c>
    </row>
    <row r="203" spans="2:11" ht="26.5" customHeight="1">
      <c r="B203" s="2">
        <v>181</v>
      </c>
      <c r="C203" s="2">
        <f t="shared" si="10"/>
        <v>11</v>
      </c>
      <c r="D203" s="2">
        <f t="shared" si="11"/>
        <v>5</v>
      </c>
      <c r="E203" s="2" t="str">
        <f t="shared" si="12"/>
        <v/>
      </c>
      <c r="F203" s="2"/>
      <c r="G203" s="2"/>
      <c r="K203" t="str">
        <f t="shared" si="13"/>
        <v>case L'': bmcode = 0x02B5; break;</v>
      </c>
    </row>
    <row r="204" spans="2:11" ht="26.5" customHeight="1">
      <c r="B204" s="2">
        <v>182</v>
      </c>
      <c r="C204" s="2">
        <f t="shared" si="10"/>
        <v>11</v>
      </c>
      <c r="D204" s="2">
        <f t="shared" si="11"/>
        <v>6</v>
      </c>
      <c r="E204" s="2" t="str">
        <f t="shared" si="12"/>
        <v/>
      </c>
      <c r="F204" s="2"/>
      <c r="G204" s="2"/>
      <c r="K204" t="str">
        <f t="shared" si="13"/>
        <v>case L'': bmcode = 0x02B6; break;</v>
      </c>
    </row>
    <row r="205" spans="2:11" ht="26.5" customHeight="1">
      <c r="B205" s="2">
        <v>183</v>
      </c>
      <c r="C205" s="2">
        <f t="shared" si="10"/>
        <v>11</v>
      </c>
      <c r="D205" s="2">
        <f t="shared" si="11"/>
        <v>7</v>
      </c>
      <c r="E205" s="2" t="str">
        <f t="shared" si="12"/>
        <v/>
      </c>
      <c r="F205" s="2"/>
      <c r="G205" s="2"/>
      <c r="K205" t="str">
        <f t="shared" si="13"/>
        <v>case L'': bmcode = 0x02B7; break;</v>
      </c>
    </row>
    <row r="206" spans="2:11" ht="26.5" customHeight="1">
      <c r="B206" s="2">
        <v>184</v>
      </c>
      <c r="C206" s="2">
        <f t="shared" si="10"/>
        <v>11</v>
      </c>
      <c r="D206" s="2">
        <f t="shared" si="11"/>
        <v>8</v>
      </c>
      <c r="E206" s="2" t="str">
        <f t="shared" si="12"/>
        <v/>
      </c>
      <c r="F206" s="2"/>
      <c r="G206" s="2"/>
      <c r="K206" t="str">
        <f t="shared" si="13"/>
        <v>case L'': bmcode = 0x02B8; break;</v>
      </c>
    </row>
    <row r="207" spans="2:11" ht="26.5" customHeight="1">
      <c r="B207" s="2">
        <v>185</v>
      </c>
      <c r="C207" s="2">
        <f t="shared" si="10"/>
        <v>11</v>
      </c>
      <c r="D207" s="2">
        <f t="shared" si="11"/>
        <v>9</v>
      </c>
      <c r="E207" s="2" t="str">
        <f t="shared" si="12"/>
        <v/>
      </c>
      <c r="F207" s="2"/>
      <c r="G207" s="2"/>
      <c r="K207" t="str">
        <f t="shared" si="13"/>
        <v>case L'': bmcode = 0x02B9; break;</v>
      </c>
    </row>
    <row r="208" spans="2:11" ht="26.5" customHeight="1">
      <c r="B208" s="2">
        <v>186</v>
      </c>
      <c r="C208" s="2">
        <f t="shared" si="10"/>
        <v>11</v>
      </c>
      <c r="D208" s="2">
        <f t="shared" si="11"/>
        <v>10</v>
      </c>
      <c r="E208" s="2" t="str">
        <f t="shared" si="12"/>
        <v/>
      </c>
      <c r="F208" s="2"/>
      <c r="G208" s="2"/>
      <c r="K208" t="str">
        <f t="shared" si="13"/>
        <v>case L'': bmcode = 0x02BA; break;</v>
      </c>
    </row>
    <row r="209" spans="2:11" ht="26.5" customHeight="1">
      <c r="B209" s="2">
        <v>187</v>
      </c>
      <c r="C209" s="2">
        <f t="shared" si="10"/>
        <v>11</v>
      </c>
      <c r="D209" s="2">
        <f t="shared" si="11"/>
        <v>11</v>
      </c>
      <c r="E209" s="2" t="str">
        <f t="shared" si="12"/>
        <v/>
      </c>
      <c r="F209" s="2"/>
      <c r="G209" s="2"/>
      <c r="K209" t="str">
        <f t="shared" si="13"/>
        <v>case L'': bmcode = 0x02BB; break;</v>
      </c>
    </row>
    <row r="210" spans="2:11" ht="26.5" customHeight="1">
      <c r="B210" s="2">
        <v>188</v>
      </c>
      <c r="C210" s="2">
        <f t="shared" si="10"/>
        <v>11</v>
      </c>
      <c r="D210" s="2">
        <f t="shared" si="11"/>
        <v>12</v>
      </c>
      <c r="E210" s="2" t="str">
        <f t="shared" si="12"/>
        <v/>
      </c>
      <c r="F210" s="2"/>
      <c r="G210" s="2"/>
      <c r="K210" t="str">
        <f t="shared" si="13"/>
        <v>case L'': bmcode = 0x02BC; break;</v>
      </c>
    </row>
    <row r="211" spans="2:11" ht="26.5" customHeight="1">
      <c r="B211" s="2">
        <v>189</v>
      </c>
      <c r="C211" s="2">
        <f t="shared" si="10"/>
        <v>11</v>
      </c>
      <c r="D211" s="2">
        <f t="shared" si="11"/>
        <v>13</v>
      </c>
      <c r="E211" s="2" t="str">
        <f t="shared" si="12"/>
        <v/>
      </c>
      <c r="F211" s="2"/>
      <c r="G211" s="2"/>
      <c r="K211" t="str">
        <f t="shared" si="13"/>
        <v>case L'': bmcode = 0x02BD; break;</v>
      </c>
    </row>
    <row r="212" spans="2:11" ht="26.5" customHeight="1">
      <c r="B212" s="2">
        <v>190</v>
      </c>
      <c r="C212" s="2">
        <f t="shared" si="10"/>
        <v>11</v>
      </c>
      <c r="D212" s="2">
        <f t="shared" si="11"/>
        <v>14</v>
      </c>
      <c r="E212" s="2" t="str">
        <f t="shared" si="12"/>
        <v/>
      </c>
      <c r="F212" s="2"/>
      <c r="G212" s="2"/>
      <c r="K212" t="str">
        <f t="shared" si="13"/>
        <v>case L'': bmcode = 0x02BE; break;</v>
      </c>
    </row>
    <row r="213" spans="2:11" ht="26.5" customHeight="1">
      <c r="B213" s="2">
        <v>191</v>
      </c>
      <c r="C213" s="2">
        <f t="shared" si="10"/>
        <v>11</v>
      </c>
      <c r="D213" s="2">
        <f t="shared" si="11"/>
        <v>15</v>
      </c>
      <c r="E213" s="2" t="str">
        <f t="shared" si="12"/>
        <v/>
      </c>
      <c r="F213" s="2"/>
      <c r="G213" s="2"/>
      <c r="K213" t="str">
        <f t="shared" si="13"/>
        <v>case L'': bmcode = 0x02BF; break;</v>
      </c>
    </row>
    <row r="214" spans="2:11" ht="26.5" customHeight="1">
      <c r="B214" s="2">
        <v>192</v>
      </c>
      <c r="C214" s="2">
        <f t="shared" si="10"/>
        <v>12</v>
      </c>
      <c r="D214" s="2">
        <f t="shared" si="11"/>
        <v>0</v>
      </c>
      <c r="E214" s="2" t="str">
        <f t="shared" si="12"/>
        <v/>
      </c>
      <c r="F214" s="2"/>
      <c r="G214" s="2"/>
      <c r="K214" t="str">
        <f t="shared" si="13"/>
        <v>case L'': bmcode = 0x02C0; break;</v>
      </c>
    </row>
    <row r="215" spans="2:11" ht="26.5" customHeight="1">
      <c r="B215" s="2">
        <v>193</v>
      </c>
      <c r="C215" s="2">
        <f t="shared" ref="C215:C278" si="14">ROUNDDOWN(B215/16,0)</f>
        <v>12</v>
      </c>
      <c r="D215" s="2">
        <f t="shared" ref="D215:D277" si="15">MOD(B215,16)</f>
        <v>1</v>
      </c>
      <c r="E215" s="2" t="str">
        <f t="shared" ref="E215:E277" si="16">IF(INDEX($C$3:$R$18,C215+1,D215+1)="","",INDEX($C$3:$R$18,C215+1,D215+1))</f>
        <v/>
      </c>
      <c r="F215" s="2"/>
      <c r="G215" s="2"/>
      <c r="K215" t="str">
        <f t="shared" ref="K215:K277" si="17">"case "&amp;"L'"&amp;E215&amp;"'"&amp;": "&amp;"bmcode = 0x"&amp;RIGHT("0000"&amp;DEC2HEX($K$19*256+C215*16+D215),4)&amp;"; break;"</f>
        <v>case L'': bmcode = 0x02C1; break;</v>
      </c>
    </row>
    <row r="216" spans="2:11" ht="26.5" customHeight="1">
      <c r="B216" s="2">
        <v>194</v>
      </c>
      <c r="C216" s="2">
        <f t="shared" si="14"/>
        <v>12</v>
      </c>
      <c r="D216" s="2">
        <f t="shared" si="15"/>
        <v>2</v>
      </c>
      <c r="E216" s="2" t="str">
        <f t="shared" si="16"/>
        <v/>
      </c>
      <c r="F216" s="2"/>
      <c r="G216" s="2"/>
      <c r="K216" t="str">
        <f t="shared" si="17"/>
        <v>case L'': bmcode = 0x02C2; break;</v>
      </c>
    </row>
    <row r="217" spans="2:11" ht="26.5" customHeight="1">
      <c r="B217" s="2">
        <v>195</v>
      </c>
      <c r="C217" s="2">
        <f t="shared" si="14"/>
        <v>12</v>
      </c>
      <c r="D217" s="2">
        <f t="shared" si="15"/>
        <v>3</v>
      </c>
      <c r="E217" s="2" t="str">
        <f t="shared" si="16"/>
        <v/>
      </c>
      <c r="F217" s="2"/>
      <c r="G217" s="2"/>
      <c r="K217" t="str">
        <f t="shared" si="17"/>
        <v>case L'': bmcode = 0x02C3; break;</v>
      </c>
    </row>
    <row r="218" spans="2:11" ht="26.5" customHeight="1">
      <c r="B218" s="2">
        <v>196</v>
      </c>
      <c r="C218" s="2">
        <f t="shared" si="14"/>
        <v>12</v>
      </c>
      <c r="D218" s="2">
        <f t="shared" si="15"/>
        <v>4</v>
      </c>
      <c r="E218" s="2" t="str">
        <f t="shared" si="16"/>
        <v/>
      </c>
      <c r="F218" s="2"/>
      <c r="G218" s="2"/>
      <c r="K218" t="str">
        <f t="shared" si="17"/>
        <v>case L'': bmcode = 0x02C4; break;</v>
      </c>
    </row>
    <row r="219" spans="2:11" ht="26.5" customHeight="1">
      <c r="B219" s="2">
        <v>197</v>
      </c>
      <c r="C219" s="2">
        <f t="shared" si="14"/>
        <v>12</v>
      </c>
      <c r="D219" s="2">
        <f t="shared" si="15"/>
        <v>5</v>
      </c>
      <c r="E219" s="2" t="str">
        <f t="shared" si="16"/>
        <v/>
      </c>
      <c r="F219" s="2"/>
      <c r="G219" s="2"/>
      <c r="K219" t="str">
        <f t="shared" si="17"/>
        <v>case L'': bmcode = 0x02C5; break;</v>
      </c>
    </row>
    <row r="220" spans="2:11" ht="26.5" customHeight="1">
      <c r="B220" s="2">
        <v>198</v>
      </c>
      <c r="C220" s="2">
        <f t="shared" si="14"/>
        <v>12</v>
      </c>
      <c r="D220" s="2">
        <f t="shared" si="15"/>
        <v>6</v>
      </c>
      <c r="E220" s="2" t="str">
        <f t="shared" si="16"/>
        <v/>
      </c>
      <c r="F220" s="2"/>
      <c r="G220" s="2"/>
      <c r="K220" t="str">
        <f t="shared" si="17"/>
        <v>case L'': bmcode = 0x02C6; break;</v>
      </c>
    </row>
    <row r="221" spans="2:11" ht="26.5" customHeight="1">
      <c r="B221" s="2">
        <v>199</v>
      </c>
      <c r="C221" s="2">
        <f t="shared" si="14"/>
        <v>12</v>
      </c>
      <c r="D221" s="2">
        <f t="shared" si="15"/>
        <v>7</v>
      </c>
      <c r="E221" s="2" t="str">
        <f t="shared" si="16"/>
        <v/>
      </c>
      <c r="F221" s="2"/>
      <c r="G221" s="2"/>
      <c r="K221" t="str">
        <f t="shared" si="17"/>
        <v>case L'': bmcode = 0x02C7; break;</v>
      </c>
    </row>
    <row r="222" spans="2:11" ht="26.5" customHeight="1">
      <c r="B222" s="2">
        <v>200</v>
      </c>
      <c r="C222" s="2">
        <f t="shared" si="14"/>
        <v>12</v>
      </c>
      <c r="D222" s="2">
        <f t="shared" si="15"/>
        <v>8</v>
      </c>
      <c r="E222" s="2" t="str">
        <f t="shared" si="16"/>
        <v/>
      </c>
      <c r="F222" s="2"/>
      <c r="G222" s="2"/>
      <c r="K222" t="str">
        <f t="shared" si="17"/>
        <v>case L'': bmcode = 0x02C8; break;</v>
      </c>
    </row>
    <row r="223" spans="2:11" ht="26.5" customHeight="1">
      <c r="B223" s="2">
        <v>201</v>
      </c>
      <c r="C223" s="2">
        <f t="shared" si="14"/>
        <v>12</v>
      </c>
      <c r="D223" s="2">
        <f t="shared" si="15"/>
        <v>9</v>
      </c>
      <c r="E223" s="2" t="str">
        <f t="shared" si="16"/>
        <v/>
      </c>
      <c r="F223" s="2"/>
      <c r="G223" s="2"/>
      <c r="K223" t="str">
        <f t="shared" si="17"/>
        <v>case L'': bmcode = 0x02C9; break;</v>
      </c>
    </row>
    <row r="224" spans="2:11" ht="26.5" customHeight="1">
      <c r="B224" s="2">
        <v>202</v>
      </c>
      <c r="C224" s="2">
        <f t="shared" si="14"/>
        <v>12</v>
      </c>
      <c r="D224" s="2">
        <f t="shared" si="15"/>
        <v>10</v>
      </c>
      <c r="E224" s="2" t="str">
        <f t="shared" si="16"/>
        <v/>
      </c>
      <c r="F224" s="2"/>
      <c r="G224" s="2"/>
      <c r="K224" t="str">
        <f t="shared" si="17"/>
        <v>case L'': bmcode = 0x02CA; break;</v>
      </c>
    </row>
    <row r="225" spans="2:11" ht="26.5" customHeight="1">
      <c r="B225" s="2">
        <v>203</v>
      </c>
      <c r="C225" s="2">
        <f t="shared" si="14"/>
        <v>12</v>
      </c>
      <c r="D225" s="2">
        <f t="shared" si="15"/>
        <v>11</v>
      </c>
      <c r="E225" s="2" t="str">
        <f t="shared" si="16"/>
        <v/>
      </c>
      <c r="F225" s="2"/>
      <c r="G225" s="2"/>
      <c r="K225" t="str">
        <f t="shared" si="17"/>
        <v>case L'': bmcode = 0x02CB; break;</v>
      </c>
    </row>
    <row r="226" spans="2:11" ht="26.5" customHeight="1">
      <c r="B226" s="2">
        <v>204</v>
      </c>
      <c r="C226" s="2">
        <f t="shared" si="14"/>
        <v>12</v>
      </c>
      <c r="D226" s="2">
        <f t="shared" si="15"/>
        <v>12</v>
      </c>
      <c r="E226" s="2" t="str">
        <f t="shared" si="16"/>
        <v/>
      </c>
      <c r="F226" s="2"/>
      <c r="G226" s="2"/>
      <c r="K226" t="str">
        <f t="shared" si="17"/>
        <v>case L'': bmcode = 0x02CC; break;</v>
      </c>
    </row>
    <row r="227" spans="2:11" ht="26.5" customHeight="1">
      <c r="B227" s="2">
        <v>205</v>
      </c>
      <c r="C227" s="2">
        <f t="shared" si="14"/>
        <v>12</v>
      </c>
      <c r="D227" s="2">
        <f t="shared" si="15"/>
        <v>13</v>
      </c>
      <c r="E227" s="2" t="str">
        <f t="shared" si="16"/>
        <v/>
      </c>
      <c r="F227" s="2"/>
      <c r="G227" s="2"/>
      <c r="K227" t="str">
        <f t="shared" si="17"/>
        <v>case L'': bmcode = 0x02CD; break;</v>
      </c>
    </row>
    <row r="228" spans="2:11" ht="26.5" customHeight="1">
      <c r="B228" s="2">
        <v>206</v>
      </c>
      <c r="C228" s="2">
        <f t="shared" si="14"/>
        <v>12</v>
      </c>
      <c r="D228" s="2">
        <f t="shared" si="15"/>
        <v>14</v>
      </c>
      <c r="E228" s="2" t="str">
        <f t="shared" si="16"/>
        <v/>
      </c>
      <c r="F228" s="2"/>
      <c r="G228" s="2"/>
      <c r="K228" t="str">
        <f t="shared" si="17"/>
        <v>case L'': bmcode = 0x02CE; break;</v>
      </c>
    </row>
    <row r="229" spans="2:11" ht="26.5" customHeight="1">
      <c r="B229" s="2">
        <v>207</v>
      </c>
      <c r="C229" s="2">
        <f t="shared" si="14"/>
        <v>12</v>
      </c>
      <c r="D229" s="2">
        <f t="shared" si="15"/>
        <v>15</v>
      </c>
      <c r="E229" s="2" t="str">
        <f t="shared" si="16"/>
        <v/>
      </c>
      <c r="F229" s="2"/>
      <c r="G229" s="2"/>
      <c r="K229" t="str">
        <f t="shared" si="17"/>
        <v>case L'': bmcode = 0x02CF; break;</v>
      </c>
    </row>
    <row r="230" spans="2:11" ht="26.5" customHeight="1">
      <c r="B230" s="2">
        <v>208</v>
      </c>
      <c r="C230" s="2">
        <f t="shared" si="14"/>
        <v>13</v>
      </c>
      <c r="D230" s="2">
        <f t="shared" si="15"/>
        <v>0</v>
      </c>
      <c r="E230" s="2" t="str">
        <f t="shared" si="16"/>
        <v/>
      </c>
      <c r="F230" s="2"/>
      <c r="G230" s="2"/>
      <c r="K230" t="str">
        <f t="shared" si="17"/>
        <v>case L'': bmcode = 0x02D0; break;</v>
      </c>
    </row>
    <row r="231" spans="2:11" ht="26.5" customHeight="1">
      <c r="B231" s="2">
        <v>209</v>
      </c>
      <c r="C231" s="2">
        <f t="shared" si="14"/>
        <v>13</v>
      </c>
      <c r="D231" s="2">
        <f t="shared" si="15"/>
        <v>1</v>
      </c>
      <c r="E231" s="2" t="str">
        <f t="shared" si="16"/>
        <v/>
      </c>
      <c r="F231" s="2"/>
      <c r="G231" s="2"/>
      <c r="K231" t="str">
        <f t="shared" si="17"/>
        <v>case L'': bmcode = 0x02D1; break;</v>
      </c>
    </row>
    <row r="232" spans="2:11" ht="26.5" customHeight="1">
      <c r="B232" s="2">
        <v>210</v>
      </c>
      <c r="C232" s="2">
        <f t="shared" si="14"/>
        <v>13</v>
      </c>
      <c r="D232" s="2">
        <f t="shared" si="15"/>
        <v>2</v>
      </c>
      <c r="E232" s="2" t="str">
        <f t="shared" si="16"/>
        <v/>
      </c>
      <c r="F232" s="2"/>
      <c r="G232" s="2"/>
      <c r="K232" t="str">
        <f t="shared" si="17"/>
        <v>case L'': bmcode = 0x02D2; break;</v>
      </c>
    </row>
    <row r="233" spans="2:11" ht="26.5" customHeight="1">
      <c r="B233" s="2">
        <v>211</v>
      </c>
      <c r="C233" s="2">
        <f t="shared" si="14"/>
        <v>13</v>
      </c>
      <c r="D233" s="2">
        <f t="shared" si="15"/>
        <v>3</v>
      </c>
      <c r="E233" s="2" t="str">
        <f t="shared" si="16"/>
        <v/>
      </c>
      <c r="F233" s="2"/>
      <c r="G233" s="2"/>
      <c r="K233" t="str">
        <f t="shared" si="17"/>
        <v>case L'': bmcode = 0x02D3; break;</v>
      </c>
    </row>
    <row r="234" spans="2:11" ht="26.5" customHeight="1">
      <c r="B234" s="2">
        <v>212</v>
      </c>
      <c r="C234" s="2">
        <f t="shared" si="14"/>
        <v>13</v>
      </c>
      <c r="D234" s="2">
        <f t="shared" si="15"/>
        <v>4</v>
      </c>
      <c r="E234" s="2" t="str">
        <f t="shared" si="16"/>
        <v/>
      </c>
      <c r="F234" s="2"/>
      <c r="G234" s="2"/>
      <c r="K234" t="str">
        <f t="shared" si="17"/>
        <v>case L'': bmcode = 0x02D4; break;</v>
      </c>
    </row>
    <row r="235" spans="2:11" ht="26.5" customHeight="1">
      <c r="B235" s="2">
        <v>213</v>
      </c>
      <c r="C235" s="2">
        <f t="shared" si="14"/>
        <v>13</v>
      </c>
      <c r="D235" s="2">
        <f t="shared" si="15"/>
        <v>5</v>
      </c>
      <c r="E235" s="2" t="str">
        <f t="shared" si="16"/>
        <v/>
      </c>
      <c r="F235" s="2"/>
      <c r="G235" s="2"/>
      <c r="K235" t="str">
        <f t="shared" si="17"/>
        <v>case L'': bmcode = 0x02D5; break;</v>
      </c>
    </row>
    <row r="236" spans="2:11" ht="26.5" customHeight="1">
      <c r="B236" s="2">
        <v>214</v>
      </c>
      <c r="C236" s="2">
        <f t="shared" si="14"/>
        <v>13</v>
      </c>
      <c r="D236" s="2">
        <f t="shared" si="15"/>
        <v>6</v>
      </c>
      <c r="E236" s="2" t="str">
        <f t="shared" si="16"/>
        <v/>
      </c>
      <c r="F236" s="2"/>
      <c r="G236" s="2"/>
      <c r="K236" t="str">
        <f t="shared" si="17"/>
        <v>case L'': bmcode = 0x02D6; break;</v>
      </c>
    </row>
    <row r="237" spans="2:11" ht="26.5" customHeight="1">
      <c r="B237" s="2">
        <v>215</v>
      </c>
      <c r="C237" s="2">
        <f t="shared" si="14"/>
        <v>13</v>
      </c>
      <c r="D237" s="2">
        <f t="shared" si="15"/>
        <v>7</v>
      </c>
      <c r="E237" s="2" t="str">
        <f t="shared" si="16"/>
        <v/>
      </c>
      <c r="F237" s="2"/>
      <c r="G237" s="2"/>
      <c r="K237" t="str">
        <f t="shared" si="17"/>
        <v>case L'': bmcode = 0x02D7; break;</v>
      </c>
    </row>
    <row r="238" spans="2:11" ht="26.5" customHeight="1">
      <c r="B238" s="2">
        <v>216</v>
      </c>
      <c r="C238" s="2">
        <f t="shared" si="14"/>
        <v>13</v>
      </c>
      <c r="D238" s="2">
        <f t="shared" si="15"/>
        <v>8</v>
      </c>
      <c r="E238" s="2" t="str">
        <f t="shared" si="16"/>
        <v/>
      </c>
      <c r="F238" s="2"/>
      <c r="G238" s="2"/>
      <c r="K238" t="str">
        <f t="shared" si="17"/>
        <v>case L'': bmcode = 0x02D8; break;</v>
      </c>
    </row>
    <row r="239" spans="2:11" ht="26.5" customHeight="1">
      <c r="B239" s="2">
        <v>217</v>
      </c>
      <c r="C239" s="2">
        <f t="shared" si="14"/>
        <v>13</v>
      </c>
      <c r="D239" s="2">
        <f t="shared" si="15"/>
        <v>9</v>
      </c>
      <c r="E239" s="2" t="str">
        <f t="shared" si="16"/>
        <v/>
      </c>
      <c r="F239" s="2"/>
      <c r="G239" s="2"/>
      <c r="K239" t="str">
        <f t="shared" si="17"/>
        <v>case L'': bmcode = 0x02D9; break;</v>
      </c>
    </row>
    <row r="240" spans="2:11" ht="26.5" customHeight="1">
      <c r="B240" s="2">
        <v>218</v>
      </c>
      <c r="C240" s="2">
        <f t="shared" si="14"/>
        <v>13</v>
      </c>
      <c r="D240" s="2">
        <f t="shared" si="15"/>
        <v>10</v>
      </c>
      <c r="E240" s="2" t="str">
        <f t="shared" si="16"/>
        <v/>
      </c>
      <c r="F240" s="2"/>
      <c r="G240" s="2"/>
      <c r="K240" t="str">
        <f t="shared" si="17"/>
        <v>case L'': bmcode = 0x02DA; break;</v>
      </c>
    </row>
    <row r="241" spans="2:11" ht="26.5" customHeight="1">
      <c r="B241" s="2">
        <v>219</v>
      </c>
      <c r="C241" s="2">
        <f t="shared" si="14"/>
        <v>13</v>
      </c>
      <c r="D241" s="2">
        <f t="shared" si="15"/>
        <v>11</v>
      </c>
      <c r="E241" s="2" t="str">
        <f t="shared" si="16"/>
        <v/>
      </c>
      <c r="F241" s="2"/>
      <c r="G241" s="2"/>
      <c r="K241" t="str">
        <f t="shared" si="17"/>
        <v>case L'': bmcode = 0x02DB; break;</v>
      </c>
    </row>
    <row r="242" spans="2:11" ht="26.5" customHeight="1">
      <c r="B242" s="2">
        <v>220</v>
      </c>
      <c r="C242" s="2">
        <f t="shared" si="14"/>
        <v>13</v>
      </c>
      <c r="D242" s="2">
        <f t="shared" si="15"/>
        <v>12</v>
      </c>
      <c r="E242" s="2" t="str">
        <f t="shared" si="16"/>
        <v/>
      </c>
      <c r="F242" s="2"/>
      <c r="G242" s="2"/>
      <c r="K242" t="str">
        <f t="shared" si="17"/>
        <v>case L'': bmcode = 0x02DC; break;</v>
      </c>
    </row>
    <row r="243" spans="2:11" ht="26.5" customHeight="1">
      <c r="B243" s="2">
        <v>221</v>
      </c>
      <c r="C243" s="2">
        <f t="shared" si="14"/>
        <v>13</v>
      </c>
      <c r="D243" s="2">
        <f t="shared" si="15"/>
        <v>13</v>
      </c>
      <c r="E243" s="2" t="str">
        <f t="shared" si="16"/>
        <v/>
      </c>
      <c r="F243" s="2"/>
      <c r="G243" s="2"/>
      <c r="K243" t="str">
        <f t="shared" si="17"/>
        <v>case L'': bmcode = 0x02DD; break;</v>
      </c>
    </row>
    <row r="244" spans="2:11" ht="26.5" customHeight="1">
      <c r="B244" s="2">
        <v>222</v>
      </c>
      <c r="C244" s="2">
        <f t="shared" si="14"/>
        <v>13</v>
      </c>
      <c r="D244" s="2">
        <f t="shared" si="15"/>
        <v>14</v>
      </c>
      <c r="E244" s="2" t="str">
        <f t="shared" si="16"/>
        <v/>
      </c>
      <c r="F244" s="2"/>
      <c r="G244" s="2"/>
      <c r="K244" t="str">
        <f t="shared" si="17"/>
        <v>case L'': bmcode = 0x02DE; break;</v>
      </c>
    </row>
    <row r="245" spans="2:11" ht="26.5" customHeight="1">
      <c r="B245" s="2">
        <v>223</v>
      </c>
      <c r="C245" s="2">
        <f t="shared" si="14"/>
        <v>13</v>
      </c>
      <c r="D245" s="2">
        <f t="shared" si="15"/>
        <v>15</v>
      </c>
      <c r="E245" s="2" t="str">
        <f t="shared" si="16"/>
        <v/>
      </c>
      <c r="F245" s="2"/>
      <c r="G245" s="2"/>
      <c r="K245" t="str">
        <f t="shared" si="17"/>
        <v>case L'': bmcode = 0x02DF; break;</v>
      </c>
    </row>
    <row r="246" spans="2:11" ht="26.5" customHeight="1">
      <c r="B246" s="2">
        <v>224</v>
      </c>
      <c r="C246" s="2">
        <f t="shared" si="14"/>
        <v>14</v>
      </c>
      <c r="D246" s="2">
        <f t="shared" si="15"/>
        <v>0</v>
      </c>
      <c r="E246" s="2" t="str">
        <f t="shared" si="16"/>
        <v/>
      </c>
      <c r="F246" s="2"/>
      <c r="G246" s="2"/>
      <c r="K246" t="str">
        <f t="shared" si="17"/>
        <v>case L'': bmcode = 0x02E0; break;</v>
      </c>
    </row>
    <row r="247" spans="2:11" ht="26.5" customHeight="1">
      <c r="B247" s="2">
        <v>225</v>
      </c>
      <c r="C247" s="2">
        <f t="shared" si="14"/>
        <v>14</v>
      </c>
      <c r="D247" s="2">
        <f t="shared" si="15"/>
        <v>1</v>
      </c>
      <c r="E247" s="2" t="str">
        <f t="shared" si="16"/>
        <v/>
      </c>
      <c r="F247" s="2"/>
      <c r="G247" s="2"/>
      <c r="K247" t="str">
        <f t="shared" si="17"/>
        <v>case L'': bmcode = 0x02E1; break;</v>
      </c>
    </row>
    <row r="248" spans="2:11" ht="26.5" customHeight="1">
      <c r="B248" s="2">
        <v>226</v>
      </c>
      <c r="C248" s="2">
        <f t="shared" si="14"/>
        <v>14</v>
      </c>
      <c r="D248" s="2">
        <f t="shared" si="15"/>
        <v>2</v>
      </c>
      <c r="E248" s="2" t="str">
        <f t="shared" si="16"/>
        <v/>
      </c>
      <c r="F248" s="2"/>
      <c r="G248" s="2"/>
      <c r="K248" t="str">
        <f t="shared" si="17"/>
        <v>case L'': bmcode = 0x02E2; break;</v>
      </c>
    </row>
    <row r="249" spans="2:11" ht="26.5" customHeight="1">
      <c r="B249" s="2">
        <v>227</v>
      </c>
      <c r="C249" s="2">
        <f t="shared" si="14"/>
        <v>14</v>
      </c>
      <c r="D249" s="2">
        <f t="shared" si="15"/>
        <v>3</v>
      </c>
      <c r="E249" s="2" t="str">
        <f t="shared" si="16"/>
        <v/>
      </c>
      <c r="F249" s="2"/>
      <c r="G249" s="2"/>
      <c r="K249" t="str">
        <f t="shared" si="17"/>
        <v>case L'': bmcode = 0x02E3; break;</v>
      </c>
    </row>
    <row r="250" spans="2:11" ht="26.5" customHeight="1">
      <c r="B250" s="2">
        <v>228</v>
      </c>
      <c r="C250" s="2">
        <f t="shared" si="14"/>
        <v>14</v>
      </c>
      <c r="D250" s="2">
        <f t="shared" si="15"/>
        <v>4</v>
      </c>
      <c r="E250" s="2" t="str">
        <f t="shared" si="16"/>
        <v/>
      </c>
      <c r="F250" s="2"/>
      <c r="G250" s="2"/>
      <c r="K250" t="str">
        <f t="shared" si="17"/>
        <v>case L'': bmcode = 0x02E4; break;</v>
      </c>
    </row>
    <row r="251" spans="2:11" ht="26.5" customHeight="1">
      <c r="B251" s="2">
        <v>229</v>
      </c>
      <c r="C251" s="2">
        <f t="shared" si="14"/>
        <v>14</v>
      </c>
      <c r="D251" s="2">
        <f t="shared" si="15"/>
        <v>5</v>
      </c>
      <c r="E251" s="2" t="str">
        <f t="shared" si="16"/>
        <v/>
      </c>
      <c r="F251" s="2"/>
      <c r="G251" s="2"/>
      <c r="K251" t="str">
        <f t="shared" si="17"/>
        <v>case L'': bmcode = 0x02E5; break;</v>
      </c>
    </row>
    <row r="252" spans="2:11" ht="26.5" customHeight="1">
      <c r="B252" s="2">
        <v>230</v>
      </c>
      <c r="C252" s="2">
        <f t="shared" si="14"/>
        <v>14</v>
      </c>
      <c r="D252" s="2">
        <f t="shared" si="15"/>
        <v>6</v>
      </c>
      <c r="E252" s="2" t="str">
        <f t="shared" si="16"/>
        <v/>
      </c>
      <c r="F252" s="2"/>
      <c r="G252" s="2"/>
      <c r="K252" t="str">
        <f t="shared" si="17"/>
        <v>case L'': bmcode = 0x02E6; break;</v>
      </c>
    </row>
    <row r="253" spans="2:11" ht="26.5" customHeight="1">
      <c r="B253" s="2">
        <v>231</v>
      </c>
      <c r="C253" s="2">
        <f t="shared" si="14"/>
        <v>14</v>
      </c>
      <c r="D253" s="2">
        <f t="shared" si="15"/>
        <v>7</v>
      </c>
      <c r="E253" s="2" t="str">
        <f t="shared" si="16"/>
        <v/>
      </c>
      <c r="F253" s="2"/>
      <c r="G253" s="2"/>
      <c r="K253" t="str">
        <f t="shared" si="17"/>
        <v>case L'': bmcode = 0x02E7; break;</v>
      </c>
    </row>
    <row r="254" spans="2:11" ht="26.5" customHeight="1">
      <c r="B254" s="2">
        <v>232</v>
      </c>
      <c r="C254" s="2">
        <f t="shared" si="14"/>
        <v>14</v>
      </c>
      <c r="D254" s="2">
        <f t="shared" si="15"/>
        <v>8</v>
      </c>
      <c r="E254" s="2" t="str">
        <f t="shared" si="16"/>
        <v/>
      </c>
      <c r="F254" s="2"/>
      <c r="G254" s="2"/>
      <c r="K254" t="str">
        <f t="shared" si="17"/>
        <v>case L'': bmcode = 0x02E8; break;</v>
      </c>
    </row>
    <row r="255" spans="2:11" ht="26.5" customHeight="1">
      <c r="B255" s="2">
        <v>233</v>
      </c>
      <c r="C255" s="2">
        <f t="shared" si="14"/>
        <v>14</v>
      </c>
      <c r="D255" s="2">
        <f t="shared" si="15"/>
        <v>9</v>
      </c>
      <c r="E255" s="2" t="str">
        <f t="shared" si="16"/>
        <v/>
      </c>
      <c r="F255" s="2"/>
      <c r="G255" s="2"/>
      <c r="K255" t="str">
        <f t="shared" si="17"/>
        <v>case L'': bmcode = 0x02E9; break;</v>
      </c>
    </row>
    <row r="256" spans="2:11" ht="26.5" customHeight="1">
      <c r="B256" s="2">
        <v>234</v>
      </c>
      <c r="C256" s="2">
        <f t="shared" si="14"/>
        <v>14</v>
      </c>
      <c r="D256" s="2">
        <f t="shared" si="15"/>
        <v>10</v>
      </c>
      <c r="E256" s="2" t="str">
        <f t="shared" si="16"/>
        <v/>
      </c>
      <c r="F256" s="2"/>
      <c r="G256" s="2"/>
      <c r="K256" t="str">
        <f t="shared" si="17"/>
        <v>case L'': bmcode = 0x02EA; break;</v>
      </c>
    </row>
    <row r="257" spans="2:11" ht="26.5" customHeight="1">
      <c r="B257" s="2">
        <v>235</v>
      </c>
      <c r="C257" s="2">
        <f t="shared" si="14"/>
        <v>14</v>
      </c>
      <c r="D257" s="2">
        <f t="shared" si="15"/>
        <v>11</v>
      </c>
      <c r="E257" s="2" t="str">
        <f t="shared" si="16"/>
        <v/>
      </c>
      <c r="F257" s="2"/>
      <c r="G257" s="2"/>
      <c r="K257" t="str">
        <f t="shared" si="17"/>
        <v>case L'': bmcode = 0x02EB; break;</v>
      </c>
    </row>
    <row r="258" spans="2:11" ht="26.5" customHeight="1">
      <c r="B258" s="2">
        <v>236</v>
      </c>
      <c r="C258" s="2">
        <f t="shared" si="14"/>
        <v>14</v>
      </c>
      <c r="D258" s="2">
        <f t="shared" si="15"/>
        <v>12</v>
      </c>
      <c r="E258" s="2" t="str">
        <f t="shared" si="16"/>
        <v/>
      </c>
      <c r="F258" s="2"/>
      <c r="G258" s="2"/>
      <c r="K258" t="str">
        <f t="shared" si="17"/>
        <v>case L'': bmcode = 0x02EC; break;</v>
      </c>
    </row>
    <row r="259" spans="2:11" ht="26.5" customHeight="1">
      <c r="B259" s="2">
        <v>237</v>
      </c>
      <c r="C259" s="2">
        <f t="shared" si="14"/>
        <v>14</v>
      </c>
      <c r="D259" s="2">
        <f t="shared" si="15"/>
        <v>13</v>
      </c>
      <c r="E259" s="2" t="str">
        <f t="shared" si="16"/>
        <v/>
      </c>
      <c r="F259" s="2"/>
      <c r="G259" s="2"/>
      <c r="K259" t="str">
        <f t="shared" si="17"/>
        <v>case L'': bmcode = 0x02ED; break;</v>
      </c>
    </row>
    <row r="260" spans="2:11" ht="26.5" customHeight="1">
      <c r="B260" s="2">
        <v>238</v>
      </c>
      <c r="C260" s="2">
        <f t="shared" si="14"/>
        <v>14</v>
      </c>
      <c r="D260" s="2">
        <f t="shared" si="15"/>
        <v>14</v>
      </c>
      <c r="E260" s="2" t="str">
        <f t="shared" si="16"/>
        <v/>
      </c>
      <c r="F260" s="2"/>
      <c r="G260" s="2"/>
      <c r="K260" t="str">
        <f t="shared" si="17"/>
        <v>case L'': bmcode = 0x02EE; break;</v>
      </c>
    </row>
    <row r="261" spans="2:11" ht="26.5" customHeight="1">
      <c r="B261" s="2">
        <v>239</v>
      </c>
      <c r="C261" s="2">
        <f t="shared" si="14"/>
        <v>14</v>
      </c>
      <c r="D261" s="2">
        <f t="shared" si="15"/>
        <v>15</v>
      </c>
      <c r="E261" s="2" t="str">
        <f t="shared" si="16"/>
        <v/>
      </c>
      <c r="F261" s="2"/>
      <c r="G261" s="2"/>
      <c r="K261" t="str">
        <f t="shared" si="17"/>
        <v>case L'': bmcode = 0x02EF; break;</v>
      </c>
    </row>
    <row r="262" spans="2:11" ht="26.5" customHeight="1">
      <c r="B262" s="2">
        <v>240</v>
      </c>
      <c r="C262" s="2">
        <f t="shared" si="14"/>
        <v>15</v>
      </c>
      <c r="D262" s="2">
        <f t="shared" si="15"/>
        <v>0</v>
      </c>
      <c r="E262" s="2" t="str">
        <f t="shared" si="16"/>
        <v/>
      </c>
      <c r="F262" s="2"/>
      <c r="G262" s="2"/>
      <c r="K262" t="str">
        <f t="shared" si="17"/>
        <v>case L'': bmcode = 0x02F0; break;</v>
      </c>
    </row>
    <row r="263" spans="2:11" ht="26.5" customHeight="1">
      <c r="B263" s="2">
        <v>241</v>
      </c>
      <c r="C263" s="2">
        <f t="shared" si="14"/>
        <v>15</v>
      </c>
      <c r="D263" s="2">
        <f t="shared" si="15"/>
        <v>1</v>
      </c>
      <c r="E263" s="2" t="str">
        <f t="shared" si="16"/>
        <v/>
      </c>
      <c r="F263" s="2"/>
      <c r="G263" s="2"/>
      <c r="K263" t="str">
        <f t="shared" si="17"/>
        <v>case L'': bmcode = 0x02F1; break;</v>
      </c>
    </row>
    <row r="264" spans="2:11" ht="26.5" customHeight="1">
      <c r="B264" s="2">
        <v>242</v>
      </c>
      <c r="C264" s="2">
        <f t="shared" si="14"/>
        <v>15</v>
      </c>
      <c r="D264" s="2">
        <f t="shared" si="15"/>
        <v>2</v>
      </c>
      <c r="E264" s="2" t="str">
        <f t="shared" si="16"/>
        <v/>
      </c>
      <c r="F264" s="2"/>
      <c r="G264" s="2"/>
      <c r="K264" t="str">
        <f t="shared" si="17"/>
        <v>case L'': bmcode = 0x02F2; break;</v>
      </c>
    </row>
    <row r="265" spans="2:11" ht="26.5" customHeight="1">
      <c r="B265" s="2">
        <v>243</v>
      </c>
      <c r="C265" s="2">
        <f t="shared" si="14"/>
        <v>15</v>
      </c>
      <c r="D265" s="2">
        <f t="shared" si="15"/>
        <v>3</v>
      </c>
      <c r="E265" s="2" t="str">
        <f t="shared" si="16"/>
        <v/>
      </c>
      <c r="F265" s="2"/>
      <c r="G265" s="2"/>
      <c r="K265" t="str">
        <f t="shared" si="17"/>
        <v>case L'': bmcode = 0x02F3; break;</v>
      </c>
    </row>
    <row r="266" spans="2:11" ht="26.5" customHeight="1">
      <c r="B266" s="2">
        <v>244</v>
      </c>
      <c r="C266" s="2">
        <f t="shared" si="14"/>
        <v>15</v>
      </c>
      <c r="D266" s="2">
        <f t="shared" si="15"/>
        <v>4</v>
      </c>
      <c r="E266" s="2" t="str">
        <f t="shared" si="16"/>
        <v/>
      </c>
      <c r="F266" s="2"/>
      <c r="G266" s="2"/>
      <c r="K266" t="str">
        <f t="shared" si="17"/>
        <v>case L'': bmcode = 0x02F4; break;</v>
      </c>
    </row>
    <row r="267" spans="2:11" ht="26.5" customHeight="1">
      <c r="B267" s="2">
        <v>245</v>
      </c>
      <c r="C267" s="2">
        <f t="shared" si="14"/>
        <v>15</v>
      </c>
      <c r="D267" s="2">
        <f t="shared" si="15"/>
        <v>5</v>
      </c>
      <c r="E267" s="2" t="str">
        <f t="shared" si="16"/>
        <v/>
      </c>
      <c r="F267" s="2"/>
      <c r="G267" s="2"/>
      <c r="K267" t="str">
        <f t="shared" si="17"/>
        <v>case L'': bmcode = 0x02F5; break;</v>
      </c>
    </row>
    <row r="268" spans="2:11" ht="26.5" customHeight="1">
      <c r="B268" s="2">
        <v>246</v>
      </c>
      <c r="C268" s="2">
        <f t="shared" si="14"/>
        <v>15</v>
      </c>
      <c r="D268" s="2">
        <f t="shared" si="15"/>
        <v>6</v>
      </c>
      <c r="E268" s="2" t="str">
        <f t="shared" si="16"/>
        <v/>
      </c>
      <c r="F268" s="2"/>
      <c r="G268" s="2"/>
      <c r="K268" t="str">
        <f t="shared" si="17"/>
        <v>case L'': bmcode = 0x02F6; break;</v>
      </c>
    </row>
    <row r="269" spans="2:11" ht="26.5" customHeight="1">
      <c r="B269" s="2">
        <v>247</v>
      </c>
      <c r="C269" s="2">
        <f t="shared" si="14"/>
        <v>15</v>
      </c>
      <c r="D269" s="2">
        <f t="shared" si="15"/>
        <v>7</v>
      </c>
      <c r="E269" s="2" t="str">
        <f t="shared" si="16"/>
        <v/>
      </c>
      <c r="F269" s="2"/>
      <c r="G269" s="2"/>
      <c r="K269" t="str">
        <f t="shared" si="17"/>
        <v>case L'': bmcode = 0x02F7; break;</v>
      </c>
    </row>
    <row r="270" spans="2:11" ht="26.5" customHeight="1">
      <c r="B270" s="2">
        <v>248</v>
      </c>
      <c r="C270" s="2">
        <f t="shared" si="14"/>
        <v>15</v>
      </c>
      <c r="D270" s="2">
        <f t="shared" si="15"/>
        <v>8</v>
      </c>
      <c r="E270" s="2" t="str">
        <f t="shared" si="16"/>
        <v/>
      </c>
      <c r="F270" s="2"/>
      <c r="G270" s="2"/>
      <c r="K270" t="str">
        <f t="shared" si="17"/>
        <v>case L'': bmcode = 0x02F8; break;</v>
      </c>
    </row>
    <row r="271" spans="2:11" ht="26.5" customHeight="1">
      <c r="B271" s="2">
        <v>249</v>
      </c>
      <c r="C271" s="2">
        <f t="shared" si="14"/>
        <v>15</v>
      </c>
      <c r="D271" s="2">
        <f t="shared" si="15"/>
        <v>9</v>
      </c>
      <c r="E271" s="2" t="str">
        <f t="shared" si="16"/>
        <v/>
      </c>
      <c r="F271" s="2"/>
      <c r="G271" s="2"/>
      <c r="K271" t="str">
        <f t="shared" si="17"/>
        <v>case L'': bmcode = 0x02F9; break;</v>
      </c>
    </row>
    <row r="272" spans="2:11" ht="26.5" customHeight="1">
      <c r="B272" s="2">
        <v>250</v>
      </c>
      <c r="C272" s="2">
        <f t="shared" si="14"/>
        <v>15</v>
      </c>
      <c r="D272" s="2">
        <f t="shared" si="15"/>
        <v>10</v>
      </c>
      <c r="E272" s="2" t="str">
        <f t="shared" si="16"/>
        <v/>
      </c>
      <c r="F272" s="2"/>
      <c r="G272" s="2"/>
      <c r="K272" t="str">
        <f t="shared" si="17"/>
        <v>case L'': bmcode = 0x02FA; break;</v>
      </c>
    </row>
    <row r="273" spans="2:11" ht="26.5" customHeight="1">
      <c r="B273" s="2">
        <v>251</v>
      </c>
      <c r="C273" s="2">
        <f t="shared" si="14"/>
        <v>15</v>
      </c>
      <c r="D273" s="2">
        <f t="shared" si="15"/>
        <v>11</v>
      </c>
      <c r="E273" s="2" t="str">
        <f t="shared" si="16"/>
        <v/>
      </c>
      <c r="F273" s="2"/>
      <c r="G273" s="2"/>
      <c r="K273" t="str">
        <f t="shared" si="17"/>
        <v>case L'': bmcode = 0x02FB; break;</v>
      </c>
    </row>
    <row r="274" spans="2:11" ht="26.5" customHeight="1">
      <c r="B274" s="2">
        <v>252</v>
      </c>
      <c r="C274" s="2">
        <f t="shared" si="14"/>
        <v>15</v>
      </c>
      <c r="D274" s="2">
        <f t="shared" si="15"/>
        <v>12</v>
      </c>
      <c r="E274" s="2" t="str">
        <f t="shared" si="16"/>
        <v/>
      </c>
      <c r="F274" s="2"/>
      <c r="G274" s="2"/>
      <c r="K274" t="str">
        <f t="shared" si="17"/>
        <v>case L'': bmcode = 0x02FC; break;</v>
      </c>
    </row>
    <row r="275" spans="2:11" ht="26.5" customHeight="1">
      <c r="B275" s="2">
        <v>253</v>
      </c>
      <c r="C275" s="2">
        <f t="shared" si="14"/>
        <v>15</v>
      </c>
      <c r="D275" s="2">
        <f t="shared" si="15"/>
        <v>13</v>
      </c>
      <c r="E275" s="2" t="str">
        <f t="shared" si="16"/>
        <v/>
      </c>
      <c r="F275" s="2"/>
      <c r="G275" s="2"/>
      <c r="K275" t="str">
        <f t="shared" si="17"/>
        <v>case L'': bmcode = 0x02FD; break;</v>
      </c>
    </row>
    <row r="276" spans="2:11" ht="26.5" customHeight="1">
      <c r="B276" s="2">
        <v>254</v>
      </c>
      <c r="C276" s="2">
        <f t="shared" si="14"/>
        <v>15</v>
      </c>
      <c r="D276" s="2">
        <f t="shared" si="15"/>
        <v>14</v>
      </c>
      <c r="E276" s="2" t="str">
        <f t="shared" si="16"/>
        <v/>
      </c>
      <c r="F276" s="2"/>
      <c r="G276" s="2"/>
      <c r="K276" t="str">
        <f t="shared" si="17"/>
        <v>case L'': bmcode = 0x02FE; break;</v>
      </c>
    </row>
    <row r="277" spans="2:11" ht="26.5" customHeight="1">
      <c r="B277" s="2">
        <v>255</v>
      </c>
      <c r="C277" s="2">
        <f t="shared" si="14"/>
        <v>15</v>
      </c>
      <c r="D277" s="2">
        <f t="shared" si="15"/>
        <v>15</v>
      </c>
      <c r="E277" s="2" t="str">
        <f t="shared" si="16"/>
        <v/>
      </c>
      <c r="F277" s="2"/>
      <c r="G277" s="2"/>
      <c r="K277" t="str">
        <f t="shared" si="17"/>
        <v>case L'': bmcode = 0x02FF; break;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7BD7-BE73-4CD6-B063-ED7BEDC533C9}">
  <dimension ref="B2:AI277"/>
  <sheetViews>
    <sheetView workbookViewId="0">
      <selection activeCell="K20" sqref="K20"/>
    </sheetView>
  </sheetViews>
  <sheetFormatPr defaultColWidth="5" defaultRowHeight="26.5" customHeight="1"/>
  <sheetData>
    <row r="2" spans="2:35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5"/>
      <c r="T2" s="6" t="s">
        <v>189</v>
      </c>
    </row>
    <row r="3" spans="2:35" ht="26.5" customHeight="1">
      <c r="B3" s="1">
        <v>0</v>
      </c>
      <c r="C3" s="3"/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T3" t="str">
        <f>"L'"&amp;C3&amp;"',"</f>
        <v>L'',</v>
      </c>
      <c r="U3" t="str">
        <f t="shared" ref="U3:AI18" si="0">"L'"&amp;D3&amp;"',"</f>
        <v>L'',</v>
      </c>
      <c r="V3" t="str">
        <f t="shared" si="0"/>
        <v>L'',</v>
      </c>
      <c r="W3" t="str">
        <f t="shared" si="0"/>
        <v>L'',</v>
      </c>
      <c r="X3" t="str">
        <f t="shared" si="0"/>
        <v>L'',</v>
      </c>
      <c r="Y3" t="str">
        <f t="shared" si="0"/>
        <v>L'',</v>
      </c>
      <c r="Z3" t="str">
        <f t="shared" si="0"/>
        <v>L'',</v>
      </c>
      <c r="AA3" t="str">
        <f t="shared" si="0"/>
        <v>L'',</v>
      </c>
      <c r="AB3" t="str">
        <f t="shared" si="0"/>
        <v>L'',</v>
      </c>
      <c r="AC3" t="str">
        <f t="shared" si="0"/>
        <v>L'',</v>
      </c>
      <c r="AD3" t="str">
        <f t="shared" si="0"/>
        <v>L'',</v>
      </c>
      <c r="AE3" t="str">
        <f t="shared" si="0"/>
        <v>L'',</v>
      </c>
      <c r="AF3" t="str">
        <f t="shared" si="0"/>
        <v>L'',</v>
      </c>
      <c r="AG3" t="str">
        <f t="shared" si="0"/>
        <v>L'',</v>
      </c>
      <c r="AH3" t="str">
        <f t="shared" si="0"/>
        <v>L'',</v>
      </c>
      <c r="AI3" t="str">
        <f t="shared" si="0"/>
        <v>L'',</v>
      </c>
    </row>
    <row r="4" spans="2:35" ht="26.5" customHeight="1">
      <c r="B4" s="1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T4" t="str">
        <f t="shared" ref="T4:T18" si="1">"L'"&amp;C4&amp;"',"</f>
        <v>L'',</v>
      </c>
      <c r="U4" t="str">
        <f t="shared" si="0"/>
        <v>L'',</v>
      </c>
      <c r="V4" t="str">
        <f t="shared" si="0"/>
        <v>L'',</v>
      </c>
      <c r="W4" t="str">
        <f t="shared" si="0"/>
        <v>L'',</v>
      </c>
      <c r="X4" t="str">
        <f t="shared" si="0"/>
        <v>L'',</v>
      </c>
      <c r="Y4" t="str">
        <f t="shared" si="0"/>
        <v>L'',</v>
      </c>
      <c r="Z4" t="str">
        <f t="shared" si="0"/>
        <v>L'',</v>
      </c>
      <c r="AA4" t="str">
        <f t="shared" si="0"/>
        <v>L'',</v>
      </c>
      <c r="AB4" t="str">
        <f t="shared" si="0"/>
        <v>L'',</v>
      </c>
      <c r="AC4" t="str">
        <f t="shared" si="0"/>
        <v>L'',</v>
      </c>
      <c r="AD4" t="str">
        <f t="shared" si="0"/>
        <v>L'',</v>
      </c>
      <c r="AE4" t="str">
        <f t="shared" si="0"/>
        <v>L'',</v>
      </c>
      <c r="AF4" t="str">
        <f t="shared" si="0"/>
        <v>L'',</v>
      </c>
      <c r="AG4" t="str">
        <f t="shared" si="0"/>
        <v>L'',</v>
      </c>
      <c r="AH4" t="str">
        <f t="shared" si="0"/>
        <v>L'',</v>
      </c>
      <c r="AI4" t="str">
        <f t="shared" si="0"/>
        <v>L'',</v>
      </c>
    </row>
    <row r="5" spans="2:35" ht="26.5" customHeight="1">
      <c r="B5" s="1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T5" t="str">
        <f t="shared" si="1"/>
        <v>L'',</v>
      </c>
      <c r="U5" t="str">
        <f t="shared" si="0"/>
        <v>L'',</v>
      </c>
      <c r="V5" t="str">
        <f t="shared" si="0"/>
        <v>L'',</v>
      </c>
      <c r="W5" t="str">
        <f t="shared" si="0"/>
        <v>L'',</v>
      </c>
      <c r="X5" t="str">
        <f t="shared" si="0"/>
        <v>L'',</v>
      </c>
      <c r="Y5" t="str">
        <f t="shared" si="0"/>
        <v>L'',</v>
      </c>
      <c r="Z5" t="str">
        <f t="shared" si="0"/>
        <v>L'',</v>
      </c>
      <c r="AA5" t="str">
        <f t="shared" si="0"/>
        <v>L'',</v>
      </c>
      <c r="AB5" t="str">
        <f t="shared" si="0"/>
        <v>L'',</v>
      </c>
      <c r="AC5" t="str">
        <f t="shared" si="0"/>
        <v>L'',</v>
      </c>
      <c r="AD5" t="str">
        <f t="shared" si="0"/>
        <v>L'',</v>
      </c>
      <c r="AE5" t="str">
        <f t="shared" si="0"/>
        <v>L'',</v>
      </c>
      <c r="AF5" t="str">
        <f t="shared" si="0"/>
        <v>L'',</v>
      </c>
      <c r="AG5" t="str">
        <f t="shared" si="0"/>
        <v>L'',</v>
      </c>
      <c r="AH5" t="str">
        <f t="shared" si="0"/>
        <v>L'',</v>
      </c>
      <c r="AI5" t="str">
        <f t="shared" si="0"/>
        <v>L'',</v>
      </c>
    </row>
    <row r="6" spans="2:35" ht="26.5" customHeight="1">
      <c r="B6" s="1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T6" t="str">
        <f t="shared" si="1"/>
        <v>L'',</v>
      </c>
      <c r="U6" t="str">
        <f t="shared" si="0"/>
        <v>L'',</v>
      </c>
      <c r="V6" t="str">
        <f t="shared" si="0"/>
        <v>L'',</v>
      </c>
      <c r="W6" t="str">
        <f t="shared" si="0"/>
        <v>L'',</v>
      </c>
      <c r="X6" t="str">
        <f t="shared" si="0"/>
        <v>L'',</v>
      </c>
      <c r="Y6" t="str">
        <f t="shared" si="0"/>
        <v>L'',</v>
      </c>
      <c r="Z6" t="str">
        <f t="shared" si="0"/>
        <v>L'',</v>
      </c>
      <c r="AA6" t="str">
        <f t="shared" si="0"/>
        <v>L'',</v>
      </c>
      <c r="AB6" t="str">
        <f t="shared" si="0"/>
        <v>L'',</v>
      </c>
      <c r="AC6" t="str">
        <f t="shared" si="0"/>
        <v>L'',</v>
      </c>
      <c r="AD6" t="str">
        <f t="shared" si="0"/>
        <v>L'',</v>
      </c>
      <c r="AE6" t="str">
        <f t="shared" si="0"/>
        <v>L'',</v>
      </c>
      <c r="AF6" t="str">
        <f t="shared" si="0"/>
        <v>L'',</v>
      </c>
      <c r="AG6" t="str">
        <f t="shared" si="0"/>
        <v>L'',</v>
      </c>
      <c r="AH6" t="str">
        <f t="shared" si="0"/>
        <v>L'',</v>
      </c>
      <c r="AI6" t="str">
        <f t="shared" si="0"/>
        <v>L'',</v>
      </c>
    </row>
    <row r="7" spans="2:35" ht="26.5" customHeight="1">
      <c r="B7" s="1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t="str">
        <f t="shared" si="1"/>
        <v>L'',</v>
      </c>
      <c r="U7" t="str">
        <f t="shared" si="0"/>
        <v>L'',</v>
      </c>
      <c r="V7" t="str">
        <f t="shared" si="0"/>
        <v>L'',</v>
      </c>
      <c r="W7" t="str">
        <f t="shared" si="0"/>
        <v>L'',</v>
      </c>
      <c r="X7" t="str">
        <f t="shared" si="0"/>
        <v>L'',</v>
      </c>
      <c r="Y7" t="str">
        <f t="shared" si="0"/>
        <v>L'',</v>
      </c>
      <c r="Z7" t="str">
        <f t="shared" si="0"/>
        <v>L'',</v>
      </c>
      <c r="AA7" t="str">
        <f t="shared" si="0"/>
        <v>L'',</v>
      </c>
      <c r="AB7" t="str">
        <f t="shared" si="0"/>
        <v>L'',</v>
      </c>
      <c r="AC7" t="str">
        <f t="shared" si="0"/>
        <v>L'',</v>
      </c>
      <c r="AD7" t="str">
        <f t="shared" si="0"/>
        <v>L'',</v>
      </c>
      <c r="AE7" t="str">
        <f t="shared" si="0"/>
        <v>L'',</v>
      </c>
      <c r="AF7" t="str">
        <f t="shared" si="0"/>
        <v>L'',</v>
      </c>
      <c r="AG7" t="str">
        <f t="shared" si="0"/>
        <v>L'',</v>
      </c>
      <c r="AH7" t="str">
        <f t="shared" si="0"/>
        <v>L'',</v>
      </c>
      <c r="AI7" t="str">
        <f t="shared" si="0"/>
        <v>L'',</v>
      </c>
    </row>
    <row r="8" spans="2:35" ht="26.5" customHeight="1">
      <c r="B8" s="1">
        <v>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3"/>
      <c r="T8" t="str">
        <f t="shared" si="1"/>
        <v>L'',</v>
      </c>
      <c r="U8" t="str">
        <f t="shared" si="0"/>
        <v>L'',</v>
      </c>
      <c r="V8" t="str">
        <f t="shared" si="0"/>
        <v>L'',</v>
      </c>
      <c r="W8" t="str">
        <f t="shared" si="0"/>
        <v>L'',</v>
      </c>
      <c r="X8" t="str">
        <f t="shared" si="0"/>
        <v>L'',</v>
      </c>
      <c r="Y8" t="str">
        <f t="shared" si="0"/>
        <v>L'',</v>
      </c>
      <c r="Z8" t="str">
        <f t="shared" si="0"/>
        <v>L'',</v>
      </c>
      <c r="AA8" t="str">
        <f t="shared" si="0"/>
        <v>L'',</v>
      </c>
      <c r="AB8" t="str">
        <f t="shared" si="0"/>
        <v>L'',</v>
      </c>
      <c r="AC8" t="str">
        <f t="shared" si="0"/>
        <v>L'',</v>
      </c>
      <c r="AD8" t="str">
        <f t="shared" si="0"/>
        <v>L'',</v>
      </c>
      <c r="AE8" t="str">
        <f t="shared" si="0"/>
        <v>L'',</v>
      </c>
      <c r="AF8" t="str">
        <f t="shared" si="0"/>
        <v>L'',</v>
      </c>
      <c r="AG8" t="str">
        <f t="shared" si="0"/>
        <v>L'',</v>
      </c>
      <c r="AH8" t="str">
        <f t="shared" si="0"/>
        <v>L'',</v>
      </c>
      <c r="AI8" t="str">
        <f t="shared" si="0"/>
        <v>L'',</v>
      </c>
    </row>
    <row r="9" spans="2:35" ht="26.5" customHeight="1">
      <c r="B9" s="1">
        <v>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t="str">
        <f t="shared" si="1"/>
        <v>L'',</v>
      </c>
      <c r="U9" t="str">
        <f t="shared" si="0"/>
        <v>L'',</v>
      </c>
      <c r="V9" t="str">
        <f t="shared" si="0"/>
        <v>L'',</v>
      </c>
      <c r="W9" t="str">
        <f t="shared" si="0"/>
        <v>L'',</v>
      </c>
      <c r="X9" t="str">
        <f t="shared" si="0"/>
        <v>L'',</v>
      </c>
      <c r="Y9" t="str">
        <f t="shared" si="0"/>
        <v>L'',</v>
      </c>
      <c r="Z9" t="str">
        <f t="shared" si="0"/>
        <v>L'',</v>
      </c>
      <c r="AA9" t="str">
        <f t="shared" si="0"/>
        <v>L'',</v>
      </c>
      <c r="AB9" t="str">
        <f t="shared" si="0"/>
        <v>L'',</v>
      </c>
      <c r="AC9" t="str">
        <f t="shared" si="0"/>
        <v>L'',</v>
      </c>
      <c r="AD9" t="str">
        <f t="shared" si="0"/>
        <v>L'',</v>
      </c>
      <c r="AE9" t="str">
        <f t="shared" si="0"/>
        <v>L'',</v>
      </c>
      <c r="AF9" t="str">
        <f t="shared" si="0"/>
        <v>L'',</v>
      </c>
      <c r="AG9" t="str">
        <f t="shared" si="0"/>
        <v>L'',</v>
      </c>
      <c r="AH9" t="str">
        <f t="shared" si="0"/>
        <v>L'',</v>
      </c>
      <c r="AI9" t="str">
        <f t="shared" si="0"/>
        <v>L'',</v>
      </c>
    </row>
    <row r="10" spans="2:35" ht="26.5" customHeight="1">
      <c r="B10" s="1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t="str">
        <f t="shared" si="1"/>
        <v>L'',</v>
      </c>
      <c r="U10" t="str">
        <f t="shared" si="0"/>
        <v>L'',</v>
      </c>
      <c r="V10" t="str">
        <f t="shared" si="0"/>
        <v>L'',</v>
      </c>
      <c r="W10" t="str">
        <f t="shared" si="0"/>
        <v>L'',</v>
      </c>
      <c r="X10" t="str">
        <f t="shared" si="0"/>
        <v>L'',</v>
      </c>
      <c r="Y10" t="str">
        <f t="shared" si="0"/>
        <v>L'',</v>
      </c>
      <c r="Z10" t="str">
        <f t="shared" si="0"/>
        <v>L'',</v>
      </c>
      <c r="AA10" t="str">
        <f t="shared" si="0"/>
        <v>L'',</v>
      </c>
      <c r="AB10" t="str">
        <f t="shared" si="0"/>
        <v>L'',</v>
      </c>
      <c r="AC10" t="str">
        <f t="shared" si="0"/>
        <v>L'',</v>
      </c>
      <c r="AD10" t="str">
        <f t="shared" si="0"/>
        <v>L'',</v>
      </c>
      <c r="AE10" t="str">
        <f t="shared" si="0"/>
        <v>L'',</v>
      </c>
      <c r="AF10" t="str">
        <f t="shared" si="0"/>
        <v>L'',</v>
      </c>
      <c r="AG10" t="str">
        <f t="shared" si="0"/>
        <v>L'',</v>
      </c>
      <c r="AH10" t="str">
        <f t="shared" si="0"/>
        <v>L'',</v>
      </c>
      <c r="AI10" t="str">
        <f t="shared" si="0"/>
        <v>L'',</v>
      </c>
    </row>
    <row r="11" spans="2:35" ht="26.5" customHeight="1">
      <c r="B11" s="1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t="str">
        <f t="shared" si="1"/>
        <v>L'',</v>
      </c>
      <c r="U11" t="str">
        <f t="shared" si="0"/>
        <v>L'',</v>
      </c>
      <c r="V11" t="str">
        <f t="shared" si="0"/>
        <v>L'',</v>
      </c>
      <c r="W11" t="str">
        <f t="shared" si="0"/>
        <v>L'',</v>
      </c>
      <c r="X11" t="str">
        <f t="shared" si="0"/>
        <v>L'',</v>
      </c>
      <c r="Y11" t="str">
        <f t="shared" si="0"/>
        <v>L'',</v>
      </c>
      <c r="Z11" t="str">
        <f t="shared" si="0"/>
        <v>L'',</v>
      </c>
      <c r="AA11" t="str">
        <f t="shared" si="0"/>
        <v>L'',</v>
      </c>
      <c r="AB11" t="str">
        <f t="shared" si="0"/>
        <v>L'',</v>
      </c>
      <c r="AC11" t="str">
        <f t="shared" si="0"/>
        <v>L'',</v>
      </c>
      <c r="AD11" t="str">
        <f t="shared" si="0"/>
        <v>L'',</v>
      </c>
      <c r="AE11" t="str">
        <f t="shared" si="0"/>
        <v>L'',</v>
      </c>
      <c r="AF11" t="str">
        <f t="shared" si="0"/>
        <v>L'',</v>
      </c>
      <c r="AG11" t="str">
        <f t="shared" si="0"/>
        <v>L'',</v>
      </c>
      <c r="AH11" t="str">
        <f t="shared" si="0"/>
        <v>L'',</v>
      </c>
      <c r="AI11" t="str">
        <f t="shared" si="0"/>
        <v>L'',</v>
      </c>
    </row>
    <row r="12" spans="2:35" ht="26.5" customHeight="1">
      <c r="B12" s="1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t="str">
        <f t="shared" si="1"/>
        <v>L'',</v>
      </c>
      <c r="U12" t="str">
        <f t="shared" si="0"/>
        <v>L'',</v>
      </c>
      <c r="V12" t="str">
        <f t="shared" si="0"/>
        <v>L'',</v>
      </c>
      <c r="W12" t="str">
        <f t="shared" si="0"/>
        <v>L'',</v>
      </c>
      <c r="X12" t="str">
        <f t="shared" si="0"/>
        <v>L'',</v>
      </c>
      <c r="Y12" t="str">
        <f t="shared" si="0"/>
        <v>L'',</v>
      </c>
      <c r="Z12" t="str">
        <f t="shared" si="0"/>
        <v>L'',</v>
      </c>
      <c r="AA12" t="str">
        <f t="shared" si="0"/>
        <v>L'',</v>
      </c>
      <c r="AB12" t="str">
        <f t="shared" si="0"/>
        <v>L'',</v>
      </c>
      <c r="AC12" t="str">
        <f t="shared" si="0"/>
        <v>L'',</v>
      </c>
      <c r="AD12" t="str">
        <f t="shared" si="0"/>
        <v>L'',</v>
      </c>
      <c r="AE12" t="str">
        <f t="shared" si="0"/>
        <v>L'',</v>
      </c>
      <c r="AF12" t="str">
        <f t="shared" si="0"/>
        <v>L'',</v>
      </c>
      <c r="AG12" t="str">
        <f t="shared" si="0"/>
        <v>L'',</v>
      </c>
      <c r="AH12" t="str">
        <f t="shared" si="0"/>
        <v>L'',</v>
      </c>
      <c r="AI12" t="str">
        <f t="shared" si="0"/>
        <v>L'',</v>
      </c>
    </row>
    <row r="13" spans="2:35" ht="26.5" customHeight="1">
      <c r="B13" s="1" t="s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t="str">
        <f t="shared" si="1"/>
        <v>L'',</v>
      </c>
      <c r="U13" t="str">
        <f t="shared" si="0"/>
        <v>L'',</v>
      </c>
      <c r="V13" t="str">
        <f t="shared" si="0"/>
        <v>L'',</v>
      </c>
      <c r="W13" t="str">
        <f t="shared" si="0"/>
        <v>L'',</v>
      </c>
      <c r="X13" t="str">
        <f t="shared" si="0"/>
        <v>L'',</v>
      </c>
      <c r="Y13" t="str">
        <f t="shared" si="0"/>
        <v>L'',</v>
      </c>
      <c r="Z13" t="str">
        <f t="shared" si="0"/>
        <v>L'',</v>
      </c>
      <c r="AA13" t="str">
        <f t="shared" si="0"/>
        <v>L'',</v>
      </c>
      <c r="AB13" t="str">
        <f t="shared" si="0"/>
        <v>L'',</v>
      </c>
      <c r="AC13" t="str">
        <f t="shared" si="0"/>
        <v>L'',</v>
      </c>
      <c r="AD13" t="str">
        <f t="shared" si="0"/>
        <v>L'',</v>
      </c>
      <c r="AE13" t="str">
        <f t="shared" si="0"/>
        <v>L'',</v>
      </c>
      <c r="AF13" t="str">
        <f t="shared" si="0"/>
        <v>L'',</v>
      </c>
      <c r="AG13" t="str">
        <f t="shared" si="0"/>
        <v>L'',</v>
      </c>
      <c r="AH13" t="str">
        <f t="shared" si="0"/>
        <v>L'',</v>
      </c>
      <c r="AI13" t="str">
        <f t="shared" si="0"/>
        <v>L'',</v>
      </c>
    </row>
    <row r="14" spans="2:35" ht="26.5" customHeight="1">
      <c r="B14" s="1" t="s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T14" t="str">
        <f t="shared" si="1"/>
        <v>L'',</v>
      </c>
      <c r="U14" t="str">
        <f t="shared" si="0"/>
        <v>L'',</v>
      </c>
      <c r="V14" t="str">
        <f t="shared" si="0"/>
        <v>L'',</v>
      </c>
      <c r="W14" t="str">
        <f t="shared" si="0"/>
        <v>L'',</v>
      </c>
      <c r="X14" t="str">
        <f t="shared" si="0"/>
        <v>L'',</v>
      </c>
      <c r="Y14" t="str">
        <f t="shared" si="0"/>
        <v>L'',</v>
      </c>
      <c r="Z14" t="str">
        <f t="shared" si="0"/>
        <v>L'',</v>
      </c>
      <c r="AA14" t="str">
        <f t="shared" si="0"/>
        <v>L'',</v>
      </c>
      <c r="AB14" t="str">
        <f t="shared" si="0"/>
        <v>L'',</v>
      </c>
      <c r="AC14" t="str">
        <f t="shared" si="0"/>
        <v>L'',</v>
      </c>
      <c r="AD14" t="str">
        <f t="shared" si="0"/>
        <v>L'',</v>
      </c>
      <c r="AE14" t="str">
        <f t="shared" si="0"/>
        <v>L'',</v>
      </c>
      <c r="AF14" t="str">
        <f t="shared" si="0"/>
        <v>L'',</v>
      </c>
      <c r="AG14" t="str">
        <f t="shared" si="0"/>
        <v>L'',</v>
      </c>
      <c r="AH14" t="str">
        <f t="shared" si="0"/>
        <v>L'',</v>
      </c>
      <c r="AI14" t="str">
        <f t="shared" si="0"/>
        <v>L'',</v>
      </c>
    </row>
    <row r="15" spans="2:35" ht="26.5" customHeight="1">
      <c r="B15" s="1" t="s">
        <v>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t="str">
        <f t="shared" si="1"/>
        <v>L'',</v>
      </c>
      <c r="U15" t="str">
        <f t="shared" si="0"/>
        <v>L'',</v>
      </c>
      <c r="V15" t="str">
        <f t="shared" si="0"/>
        <v>L'',</v>
      </c>
      <c r="W15" t="str">
        <f t="shared" si="0"/>
        <v>L'',</v>
      </c>
      <c r="X15" t="str">
        <f t="shared" si="0"/>
        <v>L'',</v>
      </c>
      <c r="Y15" t="str">
        <f t="shared" si="0"/>
        <v>L'',</v>
      </c>
      <c r="Z15" t="str">
        <f t="shared" si="0"/>
        <v>L'',</v>
      </c>
      <c r="AA15" t="str">
        <f t="shared" si="0"/>
        <v>L'',</v>
      </c>
      <c r="AB15" t="str">
        <f t="shared" si="0"/>
        <v>L'',</v>
      </c>
      <c r="AC15" t="str">
        <f t="shared" si="0"/>
        <v>L'',</v>
      </c>
      <c r="AD15" t="str">
        <f t="shared" si="0"/>
        <v>L'',</v>
      </c>
      <c r="AE15" t="str">
        <f t="shared" si="0"/>
        <v>L'',</v>
      </c>
      <c r="AF15" t="str">
        <f t="shared" si="0"/>
        <v>L'',</v>
      </c>
      <c r="AG15" t="str">
        <f t="shared" si="0"/>
        <v>L'',</v>
      </c>
      <c r="AH15" t="str">
        <f t="shared" si="0"/>
        <v>L'',</v>
      </c>
      <c r="AI15" t="str">
        <f t="shared" si="0"/>
        <v>L'',</v>
      </c>
    </row>
    <row r="16" spans="2:35" ht="26.5" customHeight="1">
      <c r="B16" s="1" t="s">
        <v>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T16" t="str">
        <f t="shared" si="1"/>
        <v>L'',</v>
      </c>
      <c r="U16" t="str">
        <f t="shared" si="0"/>
        <v>L'',</v>
      </c>
      <c r="V16" t="str">
        <f t="shared" si="0"/>
        <v>L'',</v>
      </c>
      <c r="W16" t="str">
        <f t="shared" si="0"/>
        <v>L'',</v>
      </c>
      <c r="X16" t="str">
        <f t="shared" si="0"/>
        <v>L'',</v>
      </c>
      <c r="Y16" t="str">
        <f t="shared" si="0"/>
        <v>L'',</v>
      </c>
      <c r="Z16" t="str">
        <f t="shared" si="0"/>
        <v>L'',</v>
      </c>
      <c r="AA16" t="str">
        <f t="shared" si="0"/>
        <v>L'',</v>
      </c>
      <c r="AB16" t="str">
        <f t="shared" si="0"/>
        <v>L'',</v>
      </c>
      <c r="AC16" t="str">
        <f t="shared" si="0"/>
        <v>L'',</v>
      </c>
      <c r="AD16" t="str">
        <f t="shared" si="0"/>
        <v>L'',</v>
      </c>
      <c r="AE16" t="str">
        <f t="shared" si="0"/>
        <v>L'',</v>
      </c>
      <c r="AF16" t="str">
        <f t="shared" si="0"/>
        <v>L'',</v>
      </c>
      <c r="AG16" t="str">
        <f t="shared" si="0"/>
        <v>L'',</v>
      </c>
      <c r="AH16" t="str">
        <f t="shared" si="0"/>
        <v>L'',</v>
      </c>
      <c r="AI16" t="str">
        <f t="shared" si="0"/>
        <v>L'',</v>
      </c>
    </row>
    <row r="17" spans="2:35" ht="26.5" customHeight="1">
      <c r="B17" s="1" t="s">
        <v>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T17" t="str">
        <f t="shared" si="1"/>
        <v>L'',</v>
      </c>
      <c r="U17" t="str">
        <f t="shared" si="0"/>
        <v>L'',</v>
      </c>
      <c r="V17" t="str">
        <f t="shared" si="0"/>
        <v>L'',</v>
      </c>
      <c r="W17" t="str">
        <f t="shared" si="0"/>
        <v>L'',</v>
      </c>
      <c r="X17" t="str">
        <f t="shared" si="0"/>
        <v>L'',</v>
      </c>
      <c r="Y17" t="str">
        <f t="shared" si="0"/>
        <v>L'',</v>
      </c>
      <c r="Z17" t="str">
        <f t="shared" si="0"/>
        <v>L'',</v>
      </c>
      <c r="AA17" t="str">
        <f t="shared" si="0"/>
        <v>L'',</v>
      </c>
      <c r="AB17" t="str">
        <f t="shared" si="0"/>
        <v>L'',</v>
      </c>
      <c r="AC17" t="str">
        <f t="shared" si="0"/>
        <v>L'',</v>
      </c>
      <c r="AD17" t="str">
        <f t="shared" si="0"/>
        <v>L'',</v>
      </c>
      <c r="AE17" t="str">
        <f t="shared" si="0"/>
        <v>L'',</v>
      </c>
      <c r="AF17" t="str">
        <f t="shared" si="0"/>
        <v>L'',</v>
      </c>
      <c r="AG17" t="str">
        <f t="shared" si="0"/>
        <v>L'',</v>
      </c>
      <c r="AH17" t="str">
        <f t="shared" si="0"/>
        <v>L'',</v>
      </c>
      <c r="AI17" t="str">
        <f t="shared" si="0"/>
        <v>L'',</v>
      </c>
    </row>
    <row r="18" spans="2:35" ht="26.5" customHeight="1">
      <c r="B18" s="1" t="s">
        <v>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t="str">
        <f t="shared" si="1"/>
        <v>L'',</v>
      </c>
      <c r="U18" t="str">
        <f t="shared" si="0"/>
        <v>L'',</v>
      </c>
      <c r="V18" t="str">
        <f t="shared" si="0"/>
        <v>L'',</v>
      </c>
      <c r="W18" t="str">
        <f t="shared" si="0"/>
        <v>L'',</v>
      </c>
      <c r="X18" t="str">
        <f t="shared" si="0"/>
        <v>L'',</v>
      </c>
      <c r="Y18" t="str">
        <f t="shared" si="0"/>
        <v>L'',</v>
      </c>
      <c r="Z18" t="str">
        <f t="shared" si="0"/>
        <v>L'',</v>
      </c>
      <c r="AA18" t="str">
        <f t="shared" si="0"/>
        <v>L'',</v>
      </c>
      <c r="AB18" t="str">
        <f t="shared" si="0"/>
        <v>L'',</v>
      </c>
      <c r="AC18" t="str">
        <f t="shared" si="0"/>
        <v>L'',</v>
      </c>
      <c r="AD18" t="str">
        <f t="shared" si="0"/>
        <v>L'',</v>
      </c>
      <c r="AE18" t="str">
        <f t="shared" si="0"/>
        <v>L'',</v>
      </c>
      <c r="AF18" t="str">
        <f t="shared" si="0"/>
        <v>L'',</v>
      </c>
      <c r="AG18" t="str">
        <f t="shared" si="0"/>
        <v>L'',</v>
      </c>
      <c r="AH18" t="str">
        <f t="shared" si="0"/>
        <v>L'',</v>
      </c>
      <c r="AI18" t="str">
        <f t="shared" si="0"/>
        <v>L'',</v>
      </c>
    </row>
    <row r="19" spans="2:35" ht="26.5" customHeight="1">
      <c r="C19" s="2"/>
      <c r="D19" s="2"/>
      <c r="E19" s="2"/>
      <c r="F19" s="2"/>
      <c r="G19" s="2"/>
      <c r="H19" s="2"/>
      <c r="I19" s="2"/>
      <c r="J19" s="7" t="s">
        <v>190</v>
      </c>
      <c r="K19" s="8">
        <v>3</v>
      </c>
      <c r="L19" s="2"/>
      <c r="M19" s="2"/>
      <c r="N19" s="2"/>
      <c r="O19" s="2"/>
      <c r="P19" s="2"/>
      <c r="Q19" s="2"/>
      <c r="R19" s="2"/>
    </row>
    <row r="20" spans="2:35" ht="26.5" customHeight="1">
      <c r="K20" t="s">
        <v>174</v>
      </c>
    </row>
    <row r="21" spans="2:35" ht="26.5" customHeight="1">
      <c r="B21" s="2" t="s">
        <v>98</v>
      </c>
      <c r="C21" s="2" t="s">
        <v>99</v>
      </c>
      <c r="D21" s="2" t="s">
        <v>100</v>
      </c>
      <c r="E21" s="2" t="s">
        <v>173</v>
      </c>
      <c r="F21" s="2"/>
      <c r="G21" s="2"/>
      <c r="K21" t="s">
        <v>187</v>
      </c>
    </row>
    <row r="22" spans="2:35" ht="26.5" customHeight="1">
      <c r="B22" s="2">
        <v>0</v>
      </c>
      <c r="C22" s="2">
        <f>ROUNDDOWN(B22/16,0)</f>
        <v>0</v>
      </c>
      <c r="D22" s="2">
        <f>MOD(B22,16)</f>
        <v>0</v>
      </c>
      <c r="E22" s="2" t="str">
        <f>IF(INDEX($C$3:$R$18,C22+1,D22+1)="","",INDEX($C$3:$R$18,C22+1,D22+1))</f>
        <v/>
      </c>
      <c r="F22" s="2"/>
      <c r="G22" s="2"/>
      <c r="K22" t="str">
        <f>"case "&amp;"L'"&amp;E22&amp;"'"&amp;": "&amp;"bmcode = 0x"&amp;RIGHT("0000"&amp;DEC2HEX($K$19*256+C22*16+D22),4)&amp;"; break;"</f>
        <v>case L'': bmcode = 0x0300; break;</v>
      </c>
    </row>
    <row r="23" spans="2:35" ht="26.5" customHeight="1">
      <c r="B23" s="2">
        <v>1</v>
      </c>
      <c r="C23" s="2">
        <f t="shared" ref="C23:C86" si="2">ROUNDDOWN(B23/16,0)</f>
        <v>0</v>
      </c>
      <c r="D23" s="2">
        <f t="shared" ref="D23:D86" si="3">MOD(B23,16)</f>
        <v>1</v>
      </c>
      <c r="E23" s="2" t="str">
        <f t="shared" ref="E23:E86" si="4">IF(INDEX($C$3:$R$18,C23+1,D23+1)="","",INDEX($C$3:$R$18,C23+1,D23+1))</f>
        <v/>
      </c>
      <c r="F23" s="2"/>
      <c r="G23" s="2"/>
      <c r="K23" t="str">
        <f t="shared" ref="K23:K86" si="5">"case "&amp;"L'"&amp;E23&amp;"'"&amp;": "&amp;"bmcode = 0x"&amp;RIGHT("0000"&amp;DEC2HEX($K$19*256+C23*16+D23),4)&amp;"; break;"</f>
        <v>case L'': bmcode = 0x0301; break;</v>
      </c>
    </row>
    <row r="24" spans="2:35" ht="26.5" customHeight="1">
      <c r="B24" s="2">
        <v>2</v>
      </c>
      <c r="C24" s="2">
        <f t="shared" si="2"/>
        <v>0</v>
      </c>
      <c r="D24" s="2">
        <f t="shared" si="3"/>
        <v>2</v>
      </c>
      <c r="E24" s="2" t="str">
        <f t="shared" si="4"/>
        <v/>
      </c>
      <c r="F24" s="2"/>
      <c r="G24" s="2"/>
      <c r="K24" t="str">
        <f t="shared" si="5"/>
        <v>case L'': bmcode = 0x0302; break;</v>
      </c>
    </row>
    <row r="25" spans="2:35" ht="26.5" customHeight="1">
      <c r="B25" s="2">
        <v>3</v>
      </c>
      <c r="C25" s="2">
        <f t="shared" si="2"/>
        <v>0</v>
      </c>
      <c r="D25" s="2">
        <f t="shared" si="3"/>
        <v>3</v>
      </c>
      <c r="E25" s="2" t="str">
        <f t="shared" si="4"/>
        <v/>
      </c>
      <c r="F25" s="2"/>
      <c r="G25" s="2"/>
      <c r="K25" t="str">
        <f t="shared" si="5"/>
        <v>case L'': bmcode = 0x0303; break;</v>
      </c>
    </row>
    <row r="26" spans="2:35" ht="26.5" customHeight="1">
      <c r="B26" s="2">
        <v>4</v>
      </c>
      <c r="C26" s="2">
        <f t="shared" si="2"/>
        <v>0</v>
      </c>
      <c r="D26" s="2">
        <f t="shared" si="3"/>
        <v>4</v>
      </c>
      <c r="E26" s="2" t="str">
        <f>IF(INDEX($C$3:$R$18,C26+1,D26+1)="","",INDEX($C$3:$R$18,C26+1,D26+1))</f>
        <v/>
      </c>
      <c r="F26" s="2"/>
      <c r="G26" s="2"/>
      <c r="K26" t="str">
        <f t="shared" si="5"/>
        <v>case L'': bmcode = 0x0304; break;</v>
      </c>
    </row>
    <row r="27" spans="2:35" ht="26.5" customHeight="1">
      <c r="B27" s="2">
        <v>5</v>
      </c>
      <c r="C27" s="2">
        <f t="shared" si="2"/>
        <v>0</v>
      </c>
      <c r="D27" s="2">
        <f t="shared" si="3"/>
        <v>5</v>
      </c>
      <c r="E27" s="2" t="str">
        <f t="shared" si="4"/>
        <v/>
      </c>
      <c r="F27" s="2"/>
      <c r="G27" s="2"/>
      <c r="K27" t="str">
        <f t="shared" si="5"/>
        <v>case L'': bmcode = 0x0305; break;</v>
      </c>
    </row>
    <row r="28" spans="2:35" ht="26.5" customHeight="1">
      <c r="B28" s="2">
        <v>6</v>
      </c>
      <c r="C28" s="2">
        <f t="shared" si="2"/>
        <v>0</v>
      </c>
      <c r="D28" s="2">
        <f t="shared" si="3"/>
        <v>6</v>
      </c>
      <c r="E28" s="2" t="str">
        <f t="shared" si="4"/>
        <v/>
      </c>
      <c r="F28" s="2"/>
      <c r="G28" s="2"/>
      <c r="K28" t="str">
        <f t="shared" si="5"/>
        <v>case L'': bmcode = 0x0306; break;</v>
      </c>
    </row>
    <row r="29" spans="2:35" ht="26.5" customHeight="1">
      <c r="B29" s="2">
        <v>7</v>
      </c>
      <c r="C29" s="2">
        <f t="shared" si="2"/>
        <v>0</v>
      </c>
      <c r="D29" s="2">
        <f t="shared" si="3"/>
        <v>7</v>
      </c>
      <c r="E29" s="2" t="str">
        <f t="shared" si="4"/>
        <v/>
      </c>
      <c r="F29" s="2"/>
      <c r="G29" s="2"/>
      <c r="K29" t="str">
        <f t="shared" si="5"/>
        <v>case L'': bmcode = 0x0307; break;</v>
      </c>
    </row>
    <row r="30" spans="2:35" ht="26.5" customHeight="1">
      <c r="B30" s="2">
        <v>8</v>
      </c>
      <c r="C30" s="2">
        <f t="shared" si="2"/>
        <v>0</v>
      </c>
      <c r="D30" s="2">
        <f t="shared" si="3"/>
        <v>8</v>
      </c>
      <c r="E30" s="2" t="str">
        <f t="shared" si="4"/>
        <v/>
      </c>
      <c r="F30" s="2"/>
      <c r="G30" s="2"/>
      <c r="K30" t="str">
        <f t="shared" si="5"/>
        <v>case L'': bmcode = 0x0308; break;</v>
      </c>
    </row>
    <row r="31" spans="2:35" ht="26.5" customHeight="1">
      <c r="B31" s="2">
        <v>9</v>
      </c>
      <c r="C31" s="2">
        <f t="shared" si="2"/>
        <v>0</v>
      </c>
      <c r="D31" s="2">
        <f t="shared" si="3"/>
        <v>9</v>
      </c>
      <c r="E31" s="2" t="str">
        <f t="shared" si="4"/>
        <v/>
      </c>
      <c r="F31" s="2"/>
      <c r="G31" s="2"/>
      <c r="K31" t="str">
        <f t="shared" si="5"/>
        <v>case L'': bmcode = 0x0309; break;</v>
      </c>
    </row>
    <row r="32" spans="2:35" ht="26.5" customHeight="1">
      <c r="B32" s="2">
        <v>10</v>
      </c>
      <c r="C32" s="2">
        <f t="shared" si="2"/>
        <v>0</v>
      </c>
      <c r="D32" s="2">
        <f t="shared" si="3"/>
        <v>10</v>
      </c>
      <c r="E32" s="2" t="str">
        <f t="shared" si="4"/>
        <v/>
      </c>
      <c r="F32" s="2"/>
      <c r="G32" s="2"/>
      <c r="K32" t="str">
        <f t="shared" si="5"/>
        <v>case L'': bmcode = 0x030A; break;</v>
      </c>
    </row>
    <row r="33" spans="2:11" ht="26.5" customHeight="1">
      <c r="B33" s="2">
        <v>11</v>
      </c>
      <c r="C33" s="2">
        <f t="shared" si="2"/>
        <v>0</v>
      </c>
      <c r="D33" s="2">
        <f t="shared" si="3"/>
        <v>11</v>
      </c>
      <c r="E33" s="2" t="str">
        <f t="shared" si="4"/>
        <v/>
      </c>
      <c r="F33" s="2"/>
      <c r="G33" s="2"/>
      <c r="K33" t="str">
        <f t="shared" si="5"/>
        <v>case L'': bmcode = 0x030B; break;</v>
      </c>
    </row>
    <row r="34" spans="2:11" ht="26.5" customHeight="1">
      <c r="B34" s="2">
        <v>12</v>
      </c>
      <c r="C34" s="2">
        <f t="shared" si="2"/>
        <v>0</v>
      </c>
      <c r="D34" s="2">
        <f t="shared" si="3"/>
        <v>12</v>
      </c>
      <c r="E34" s="2" t="str">
        <f t="shared" si="4"/>
        <v/>
      </c>
      <c r="F34" s="2"/>
      <c r="G34" s="2"/>
      <c r="K34" t="str">
        <f t="shared" si="5"/>
        <v>case L'': bmcode = 0x030C; break;</v>
      </c>
    </row>
    <row r="35" spans="2:11" ht="26.5" customHeight="1">
      <c r="B35" s="2">
        <v>13</v>
      </c>
      <c r="C35" s="2">
        <f t="shared" si="2"/>
        <v>0</v>
      </c>
      <c r="D35" s="2">
        <f t="shared" si="3"/>
        <v>13</v>
      </c>
      <c r="E35" s="2" t="str">
        <f t="shared" si="4"/>
        <v/>
      </c>
      <c r="F35" s="2"/>
      <c r="G35" s="2"/>
      <c r="K35" t="str">
        <f t="shared" si="5"/>
        <v>case L'': bmcode = 0x030D; break;</v>
      </c>
    </row>
    <row r="36" spans="2:11" ht="26.5" customHeight="1">
      <c r="B36" s="2">
        <v>14</v>
      </c>
      <c r="C36" s="2">
        <f t="shared" si="2"/>
        <v>0</v>
      </c>
      <c r="D36" s="2">
        <f t="shared" si="3"/>
        <v>14</v>
      </c>
      <c r="E36" s="2" t="str">
        <f t="shared" si="4"/>
        <v/>
      </c>
      <c r="F36" s="2"/>
      <c r="G36" s="2"/>
      <c r="K36" t="str">
        <f t="shared" si="5"/>
        <v>case L'': bmcode = 0x030E; break;</v>
      </c>
    </row>
    <row r="37" spans="2:11" ht="26.5" customHeight="1">
      <c r="B37" s="2">
        <v>15</v>
      </c>
      <c r="C37" s="2">
        <f t="shared" si="2"/>
        <v>0</v>
      </c>
      <c r="D37" s="2">
        <f t="shared" si="3"/>
        <v>15</v>
      </c>
      <c r="E37" s="2" t="str">
        <f t="shared" si="4"/>
        <v/>
      </c>
      <c r="F37" s="2"/>
      <c r="G37" s="2"/>
      <c r="K37" t="str">
        <f t="shared" si="5"/>
        <v>case L'': bmcode = 0x030F; break;</v>
      </c>
    </row>
    <row r="38" spans="2:11" ht="26.5" customHeight="1">
      <c r="B38" s="2">
        <v>16</v>
      </c>
      <c r="C38" s="2">
        <f t="shared" si="2"/>
        <v>1</v>
      </c>
      <c r="D38" s="2">
        <f t="shared" si="3"/>
        <v>0</v>
      </c>
      <c r="E38" s="2" t="str">
        <f t="shared" si="4"/>
        <v/>
      </c>
      <c r="F38" s="2"/>
      <c r="G38" s="2"/>
      <c r="K38" t="str">
        <f t="shared" si="5"/>
        <v>case L'': bmcode = 0x0310; break;</v>
      </c>
    </row>
    <row r="39" spans="2:11" ht="26.5" customHeight="1">
      <c r="B39" s="2">
        <v>17</v>
      </c>
      <c r="C39" s="2">
        <f t="shared" si="2"/>
        <v>1</v>
      </c>
      <c r="D39" s="2">
        <f t="shared" si="3"/>
        <v>1</v>
      </c>
      <c r="E39" s="2" t="str">
        <f t="shared" si="4"/>
        <v/>
      </c>
      <c r="F39" s="2"/>
      <c r="G39" s="2"/>
      <c r="K39" t="str">
        <f t="shared" si="5"/>
        <v>case L'': bmcode = 0x0311; break;</v>
      </c>
    </row>
    <row r="40" spans="2:11" ht="26.5" customHeight="1">
      <c r="B40" s="2">
        <v>18</v>
      </c>
      <c r="C40" s="2">
        <f t="shared" si="2"/>
        <v>1</v>
      </c>
      <c r="D40" s="2">
        <f t="shared" si="3"/>
        <v>2</v>
      </c>
      <c r="E40" s="2" t="str">
        <f t="shared" si="4"/>
        <v/>
      </c>
      <c r="F40" s="2"/>
      <c r="G40" s="2"/>
      <c r="K40" t="str">
        <f t="shared" si="5"/>
        <v>case L'': bmcode = 0x0312; break;</v>
      </c>
    </row>
    <row r="41" spans="2:11" ht="26.5" customHeight="1">
      <c r="B41" s="2">
        <v>19</v>
      </c>
      <c r="C41" s="2">
        <f t="shared" si="2"/>
        <v>1</v>
      </c>
      <c r="D41" s="2">
        <f t="shared" si="3"/>
        <v>3</v>
      </c>
      <c r="E41" s="2" t="str">
        <f t="shared" si="4"/>
        <v/>
      </c>
      <c r="F41" s="2"/>
      <c r="G41" s="2"/>
      <c r="K41" t="str">
        <f t="shared" si="5"/>
        <v>case L'': bmcode = 0x0313; break;</v>
      </c>
    </row>
    <row r="42" spans="2:11" ht="26.5" customHeight="1">
      <c r="B42" s="2">
        <v>20</v>
      </c>
      <c r="C42" s="2">
        <f t="shared" si="2"/>
        <v>1</v>
      </c>
      <c r="D42" s="2">
        <f t="shared" si="3"/>
        <v>4</v>
      </c>
      <c r="E42" s="2" t="str">
        <f t="shared" si="4"/>
        <v/>
      </c>
      <c r="F42" s="2"/>
      <c r="G42" s="2"/>
      <c r="K42" t="str">
        <f t="shared" si="5"/>
        <v>case L'': bmcode = 0x0314; break;</v>
      </c>
    </row>
    <row r="43" spans="2:11" ht="26.5" customHeight="1">
      <c r="B43" s="2">
        <v>21</v>
      </c>
      <c r="C43" s="2">
        <f t="shared" si="2"/>
        <v>1</v>
      </c>
      <c r="D43" s="2">
        <f t="shared" si="3"/>
        <v>5</v>
      </c>
      <c r="E43" s="2" t="str">
        <f t="shared" si="4"/>
        <v/>
      </c>
      <c r="F43" s="2"/>
      <c r="G43" s="2"/>
      <c r="K43" t="str">
        <f t="shared" si="5"/>
        <v>case L'': bmcode = 0x0315; break;</v>
      </c>
    </row>
    <row r="44" spans="2:11" ht="26.5" customHeight="1">
      <c r="B44" s="2">
        <v>22</v>
      </c>
      <c r="C44" s="2">
        <f t="shared" si="2"/>
        <v>1</v>
      </c>
      <c r="D44" s="2">
        <f t="shared" si="3"/>
        <v>6</v>
      </c>
      <c r="E44" s="2" t="str">
        <f t="shared" si="4"/>
        <v/>
      </c>
      <c r="F44" s="2"/>
      <c r="G44" s="2"/>
      <c r="K44" t="str">
        <f t="shared" si="5"/>
        <v>case L'': bmcode = 0x0316; break;</v>
      </c>
    </row>
    <row r="45" spans="2:11" ht="26.5" customHeight="1">
      <c r="B45" s="2">
        <v>23</v>
      </c>
      <c r="C45" s="2">
        <f t="shared" si="2"/>
        <v>1</v>
      </c>
      <c r="D45" s="2">
        <f t="shared" si="3"/>
        <v>7</v>
      </c>
      <c r="E45" s="2" t="str">
        <f t="shared" si="4"/>
        <v/>
      </c>
      <c r="F45" s="2"/>
      <c r="G45" s="2"/>
      <c r="K45" t="str">
        <f t="shared" si="5"/>
        <v>case L'': bmcode = 0x0317; break;</v>
      </c>
    </row>
    <row r="46" spans="2:11" ht="26.5" customHeight="1">
      <c r="B46" s="2">
        <v>24</v>
      </c>
      <c r="C46" s="2">
        <f t="shared" si="2"/>
        <v>1</v>
      </c>
      <c r="D46" s="2">
        <f t="shared" si="3"/>
        <v>8</v>
      </c>
      <c r="E46" s="2" t="str">
        <f t="shared" si="4"/>
        <v/>
      </c>
      <c r="F46" s="2"/>
      <c r="G46" s="2"/>
      <c r="K46" t="str">
        <f t="shared" si="5"/>
        <v>case L'': bmcode = 0x0318; break;</v>
      </c>
    </row>
    <row r="47" spans="2:11" ht="26.5" customHeight="1">
      <c r="B47" s="2">
        <v>25</v>
      </c>
      <c r="C47" s="2">
        <f t="shared" si="2"/>
        <v>1</v>
      </c>
      <c r="D47" s="2">
        <f t="shared" si="3"/>
        <v>9</v>
      </c>
      <c r="E47" s="2" t="str">
        <f t="shared" si="4"/>
        <v/>
      </c>
      <c r="F47" s="2"/>
      <c r="G47" s="2"/>
      <c r="K47" t="str">
        <f t="shared" si="5"/>
        <v>case L'': bmcode = 0x0319; break;</v>
      </c>
    </row>
    <row r="48" spans="2:11" ht="26.5" customHeight="1">
      <c r="B48" s="2">
        <v>26</v>
      </c>
      <c r="C48" s="2">
        <f t="shared" si="2"/>
        <v>1</v>
      </c>
      <c r="D48" s="2">
        <f t="shared" si="3"/>
        <v>10</v>
      </c>
      <c r="E48" s="2" t="str">
        <f t="shared" si="4"/>
        <v/>
      </c>
      <c r="F48" s="2"/>
      <c r="G48" s="2"/>
      <c r="K48" t="str">
        <f t="shared" si="5"/>
        <v>case L'': bmcode = 0x031A; break;</v>
      </c>
    </row>
    <row r="49" spans="2:11" ht="26.5" customHeight="1">
      <c r="B49" s="2">
        <v>27</v>
      </c>
      <c r="C49" s="2">
        <f t="shared" si="2"/>
        <v>1</v>
      </c>
      <c r="D49" s="2">
        <f t="shared" si="3"/>
        <v>11</v>
      </c>
      <c r="E49" s="2" t="str">
        <f t="shared" si="4"/>
        <v/>
      </c>
      <c r="F49" s="2"/>
      <c r="G49" s="2"/>
      <c r="K49" t="str">
        <f t="shared" si="5"/>
        <v>case L'': bmcode = 0x031B; break;</v>
      </c>
    </row>
    <row r="50" spans="2:11" ht="26.5" customHeight="1">
      <c r="B50" s="2">
        <v>28</v>
      </c>
      <c r="C50" s="2">
        <f t="shared" si="2"/>
        <v>1</v>
      </c>
      <c r="D50" s="2">
        <f t="shared" si="3"/>
        <v>12</v>
      </c>
      <c r="E50" s="2" t="str">
        <f t="shared" si="4"/>
        <v/>
      </c>
      <c r="F50" s="2"/>
      <c r="G50" s="2"/>
      <c r="K50" t="str">
        <f t="shared" si="5"/>
        <v>case L'': bmcode = 0x031C; break;</v>
      </c>
    </row>
    <row r="51" spans="2:11" ht="26.5" customHeight="1">
      <c r="B51" s="2">
        <v>29</v>
      </c>
      <c r="C51" s="2">
        <f t="shared" si="2"/>
        <v>1</v>
      </c>
      <c r="D51" s="2">
        <f t="shared" si="3"/>
        <v>13</v>
      </c>
      <c r="E51" s="2" t="str">
        <f t="shared" si="4"/>
        <v/>
      </c>
      <c r="F51" s="2"/>
      <c r="G51" s="2"/>
      <c r="K51" t="str">
        <f t="shared" si="5"/>
        <v>case L'': bmcode = 0x031D; break;</v>
      </c>
    </row>
    <row r="52" spans="2:11" ht="26.5" customHeight="1">
      <c r="B52" s="2">
        <v>30</v>
      </c>
      <c r="C52" s="2">
        <f t="shared" si="2"/>
        <v>1</v>
      </c>
      <c r="D52" s="2">
        <f t="shared" si="3"/>
        <v>14</v>
      </c>
      <c r="E52" s="2" t="str">
        <f t="shared" si="4"/>
        <v/>
      </c>
      <c r="F52" s="2"/>
      <c r="G52" s="2"/>
      <c r="K52" t="str">
        <f t="shared" si="5"/>
        <v>case L'': bmcode = 0x031E; break;</v>
      </c>
    </row>
    <row r="53" spans="2:11" ht="26.5" customHeight="1">
      <c r="B53" s="2">
        <v>31</v>
      </c>
      <c r="C53" s="2">
        <f t="shared" si="2"/>
        <v>1</v>
      </c>
      <c r="D53" s="2">
        <f t="shared" si="3"/>
        <v>15</v>
      </c>
      <c r="E53" s="2" t="str">
        <f t="shared" si="4"/>
        <v/>
      </c>
      <c r="F53" s="2"/>
      <c r="G53" s="2"/>
      <c r="K53" t="str">
        <f t="shared" si="5"/>
        <v>case L'': bmcode = 0x031F; break;</v>
      </c>
    </row>
    <row r="54" spans="2:11" ht="26.5" customHeight="1">
      <c r="B54" s="2">
        <v>32</v>
      </c>
      <c r="C54" s="2">
        <f t="shared" si="2"/>
        <v>2</v>
      </c>
      <c r="D54" s="2">
        <f t="shared" si="3"/>
        <v>0</v>
      </c>
      <c r="E54" s="2" t="str">
        <f t="shared" si="4"/>
        <v/>
      </c>
      <c r="F54" s="2"/>
      <c r="G54" s="2"/>
      <c r="K54" t="str">
        <f t="shared" si="5"/>
        <v>case L'': bmcode = 0x0320; break;</v>
      </c>
    </row>
    <row r="55" spans="2:11" ht="26.5" customHeight="1">
      <c r="B55" s="2">
        <v>33</v>
      </c>
      <c r="C55" s="2">
        <f t="shared" si="2"/>
        <v>2</v>
      </c>
      <c r="D55" s="2">
        <f t="shared" si="3"/>
        <v>1</v>
      </c>
      <c r="E55" s="2" t="str">
        <f t="shared" si="4"/>
        <v/>
      </c>
      <c r="F55" s="2"/>
      <c r="G55" s="2"/>
      <c r="K55" t="str">
        <f t="shared" si="5"/>
        <v>case L'': bmcode = 0x0321; break;</v>
      </c>
    </row>
    <row r="56" spans="2:11" ht="26.5" customHeight="1">
      <c r="B56" s="2">
        <v>34</v>
      </c>
      <c r="C56" s="2">
        <f t="shared" si="2"/>
        <v>2</v>
      </c>
      <c r="D56" s="2">
        <f t="shared" si="3"/>
        <v>2</v>
      </c>
      <c r="E56" s="2" t="str">
        <f t="shared" si="4"/>
        <v/>
      </c>
      <c r="F56" s="2"/>
      <c r="G56" s="2"/>
      <c r="K56" t="str">
        <f t="shared" si="5"/>
        <v>case L'': bmcode = 0x0322; break;</v>
      </c>
    </row>
    <row r="57" spans="2:11" ht="26.5" customHeight="1">
      <c r="B57" s="2">
        <v>35</v>
      </c>
      <c r="C57" s="2">
        <f t="shared" si="2"/>
        <v>2</v>
      </c>
      <c r="D57" s="2">
        <f t="shared" si="3"/>
        <v>3</v>
      </c>
      <c r="E57" s="2" t="str">
        <f t="shared" si="4"/>
        <v/>
      </c>
      <c r="F57" s="2"/>
      <c r="G57" s="2"/>
      <c r="K57" t="str">
        <f t="shared" si="5"/>
        <v>case L'': bmcode = 0x0323; break;</v>
      </c>
    </row>
    <row r="58" spans="2:11" ht="26.5" customHeight="1">
      <c r="B58" s="2">
        <v>36</v>
      </c>
      <c r="C58" s="2">
        <f t="shared" si="2"/>
        <v>2</v>
      </c>
      <c r="D58" s="2">
        <f t="shared" si="3"/>
        <v>4</v>
      </c>
      <c r="E58" s="2" t="str">
        <f t="shared" si="4"/>
        <v/>
      </c>
      <c r="F58" s="2"/>
      <c r="G58" s="2"/>
      <c r="K58" t="str">
        <f t="shared" si="5"/>
        <v>case L'': bmcode = 0x0324; break;</v>
      </c>
    </row>
    <row r="59" spans="2:11" ht="26.5" customHeight="1">
      <c r="B59" s="2">
        <v>37</v>
      </c>
      <c r="C59" s="2">
        <f t="shared" si="2"/>
        <v>2</v>
      </c>
      <c r="D59" s="2">
        <f t="shared" si="3"/>
        <v>5</v>
      </c>
      <c r="E59" s="2" t="str">
        <f t="shared" si="4"/>
        <v/>
      </c>
      <c r="F59" s="2"/>
      <c r="G59" s="2"/>
      <c r="K59" t="str">
        <f t="shared" si="5"/>
        <v>case L'': bmcode = 0x0325; break;</v>
      </c>
    </row>
    <row r="60" spans="2:11" ht="26.5" customHeight="1">
      <c r="B60" s="2">
        <v>38</v>
      </c>
      <c r="C60" s="2">
        <f t="shared" si="2"/>
        <v>2</v>
      </c>
      <c r="D60" s="2">
        <f t="shared" si="3"/>
        <v>6</v>
      </c>
      <c r="E60" s="2" t="str">
        <f t="shared" si="4"/>
        <v/>
      </c>
      <c r="F60" s="2"/>
      <c r="G60" s="2"/>
      <c r="K60" t="str">
        <f t="shared" si="5"/>
        <v>case L'': bmcode = 0x0326; break;</v>
      </c>
    </row>
    <row r="61" spans="2:11" ht="26.5" customHeight="1">
      <c r="B61" s="2">
        <v>39</v>
      </c>
      <c r="C61" s="2">
        <f t="shared" si="2"/>
        <v>2</v>
      </c>
      <c r="D61" s="2">
        <f t="shared" si="3"/>
        <v>7</v>
      </c>
      <c r="E61" s="2" t="str">
        <f t="shared" si="4"/>
        <v/>
      </c>
      <c r="F61" s="2"/>
      <c r="G61" s="2"/>
      <c r="K61" t="str">
        <f t="shared" si="5"/>
        <v>case L'': bmcode = 0x0327; break;</v>
      </c>
    </row>
    <row r="62" spans="2:11" ht="26.5" customHeight="1">
      <c r="B62" s="2">
        <v>40</v>
      </c>
      <c r="C62" s="2">
        <f t="shared" si="2"/>
        <v>2</v>
      </c>
      <c r="D62" s="2">
        <f t="shared" si="3"/>
        <v>8</v>
      </c>
      <c r="E62" s="2" t="str">
        <f t="shared" si="4"/>
        <v/>
      </c>
      <c r="F62" s="2"/>
      <c r="G62" s="2"/>
      <c r="K62" t="str">
        <f t="shared" si="5"/>
        <v>case L'': bmcode = 0x0328; break;</v>
      </c>
    </row>
    <row r="63" spans="2:11" ht="26.5" customHeight="1">
      <c r="B63" s="2">
        <v>41</v>
      </c>
      <c r="C63" s="2">
        <f t="shared" si="2"/>
        <v>2</v>
      </c>
      <c r="D63" s="2">
        <f t="shared" si="3"/>
        <v>9</v>
      </c>
      <c r="E63" s="2" t="str">
        <f t="shared" si="4"/>
        <v/>
      </c>
      <c r="F63" s="2"/>
      <c r="G63" s="2"/>
      <c r="K63" t="str">
        <f t="shared" si="5"/>
        <v>case L'': bmcode = 0x0329; break;</v>
      </c>
    </row>
    <row r="64" spans="2:11" ht="26.5" customHeight="1">
      <c r="B64" s="2">
        <v>42</v>
      </c>
      <c r="C64" s="2">
        <f t="shared" si="2"/>
        <v>2</v>
      </c>
      <c r="D64" s="2">
        <f t="shared" si="3"/>
        <v>10</v>
      </c>
      <c r="E64" s="2" t="str">
        <f t="shared" si="4"/>
        <v/>
      </c>
      <c r="F64" s="2"/>
      <c r="G64" s="2"/>
      <c r="K64" t="str">
        <f t="shared" si="5"/>
        <v>case L'': bmcode = 0x032A; break;</v>
      </c>
    </row>
    <row r="65" spans="2:11" ht="26.5" customHeight="1">
      <c r="B65" s="2">
        <v>43</v>
      </c>
      <c r="C65" s="2">
        <f t="shared" si="2"/>
        <v>2</v>
      </c>
      <c r="D65" s="2">
        <f t="shared" si="3"/>
        <v>11</v>
      </c>
      <c r="E65" s="2" t="str">
        <f t="shared" si="4"/>
        <v/>
      </c>
      <c r="F65" s="2"/>
      <c r="G65" s="2"/>
      <c r="K65" t="str">
        <f t="shared" si="5"/>
        <v>case L'': bmcode = 0x032B; break;</v>
      </c>
    </row>
    <row r="66" spans="2:11" ht="26.5" customHeight="1">
      <c r="B66" s="2">
        <v>44</v>
      </c>
      <c r="C66" s="2">
        <f t="shared" si="2"/>
        <v>2</v>
      </c>
      <c r="D66" s="2">
        <f t="shared" si="3"/>
        <v>12</v>
      </c>
      <c r="E66" s="2" t="str">
        <f t="shared" si="4"/>
        <v/>
      </c>
      <c r="F66" s="2"/>
      <c r="G66" s="2"/>
      <c r="K66" t="str">
        <f t="shared" si="5"/>
        <v>case L'': bmcode = 0x032C; break;</v>
      </c>
    </row>
    <row r="67" spans="2:11" ht="26.5" customHeight="1">
      <c r="B67" s="2">
        <v>45</v>
      </c>
      <c r="C67" s="2">
        <f t="shared" si="2"/>
        <v>2</v>
      </c>
      <c r="D67" s="2">
        <f t="shared" si="3"/>
        <v>13</v>
      </c>
      <c r="E67" s="2" t="str">
        <f t="shared" si="4"/>
        <v/>
      </c>
      <c r="F67" s="2"/>
      <c r="G67" s="2"/>
      <c r="K67" t="str">
        <f t="shared" si="5"/>
        <v>case L'': bmcode = 0x032D; break;</v>
      </c>
    </row>
    <row r="68" spans="2:11" ht="26.5" customHeight="1">
      <c r="B68" s="2">
        <v>46</v>
      </c>
      <c r="C68" s="2">
        <f t="shared" si="2"/>
        <v>2</v>
      </c>
      <c r="D68" s="2">
        <f t="shared" si="3"/>
        <v>14</v>
      </c>
      <c r="E68" s="2" t="str">
        <f t="shared" si="4"/>
        <v/>
      </c>
      <c r="F68" s="2"/>
      <c r="G68" s="2"/>
      <c r="K68" t="str">
        <f t="shared" si="5"/>
        <v>case L'': bmcode = 0x032E; break;</v>
      </c>
    </row>
    <row r="69" spans="2:11" ht="26.5" customHeight="1">
      <c r="B69" s="2">
        <v>47</v>
      </c>
      <c r="C69" s="2">
        <f t="shared" si="2"/>
        <v>2</v>
      </c>
      <c r="D69" s="2">
        <f t="shared" si="3"/>
        <v>15</v>
      </c>
      <c r="E69" s="2" t="str">
        <f t="shared" si="4"/>
        <v/>
      </c>
      <c r="F69" s="2"/>
      <c r="G69" s="2"/>
      <c r="K69" t="str">
        <f t="shared" si="5"/>
        <v>case L'': bmcode = 0x032F; break;</v>
      </c>
    </row>
    <row r="70" spans="2:11" ht="26.5" customHeight="1">
      <c r="B70" s="2">
        <v>48</v>
      </c>
      <c r="C70" s="2">
        <f t="shared" si="2"/>
        <v>3</v>
      </c>
      <c r="D70" s="2">
        <f t="shared" si="3"/>
        <v>0</v>
      </c>
      <c r="E70" s="2" t="str">
        <f t="shared" si="4"/>
        <v/>
      </c>
      <c r="F70" s="2"/>
      <c r="G70" s="2"/>
      <c r="K70" t="str">
        <f t="shared" si="5"/>
        <v>case L'': bmcode = 0x0330; break;</v>
      </c>
    </row>
    <row r="71" spans="2:11" ht="26.5" customHeight="1">
      <c r="B71" s="2">
        <v>49</v>
      </c>
      <c r="C71" s="2">
        <f t="shared" si="2"/>
        <v>3</v>
      </c>
      <c r="D71" s="2">
        <f t="shared" si="3"/>
        <v>1</v>
      </c>
      <c r="E71" s="2" t="str">
        <f t="shared" si="4"/>
        <v/>
      </c>
      <c r="F71" s="2"/>
      <c r="G71" s="2"/>
      <c r="K71" t="str">
        <f t="shared" si="5"/>
        <v>case L'': bmcode = 0x0331; break;</v>
      </c>
    </row>
    <row r="72" spans="2:11" ht="26.5" customHeight="1">
      <c r="B72" s="2">
        <v>50</v>
      </c>
      <c r="C72" s="2">
        <f t="shared" si="2"/>
        <v>3</v>
      </c>
      <c r="D72" s="2">
        <f t="shared" si="3"/>
        <v>2</v>
      </c>
      <c r="E72" s="2" t="str">
        <f t="shared" si="4"/>
        <v/>
      </c>
      <c r="F72" s="2"/>
      <c r="G72" s="2"/>
      <c r="K72" t="str">
        <f t="shared" si="5"/>
        <v>case L'': bmcode = 0x0332; break;</v>
      </c>
    </row>
    <row r="73" spans="2:11" ht="26.5" customHeight="1">
      <c r="B73" s="2">
        <v>51</v>
      </c>
      <c r="C73" s="2">
        <f t="shared" si="2"/>
        <v>3</v>
      </c>
      <c r="D73" s="2">
        <f t="shared" si="3"/>
        <v>3</v>
      </c>
      <c r="E73" s="2" t="str">
        <f t="shared" si="4"/>
        <v/>
      </c>
      <c r="F73" s="2"/>
      <c r="G73" s="2"/>
      <c r="K73" t="str">
        <f t="shared" si="5"/>
        <v>case L'': bmcode = 0x0333; break;</v>
      </c>
    </row>
    <row r="74" spans="2:11" ht="26.5" customHeight="1">
      <c r="B74" s="2">
        <v>52</v>
      </c>
      <c r="C74" s="2">
        <f t="shared" si="2"/>
        <v>3</v>
      </c>
      <c r="D74" s="2">
        <f t="shared" si="3"/>
        <v>4</v>
      </c>
      <c r="E74" s="2" t="str">
        <f t="shared" si="4"/>
        <v/>
      </c>
      <c r="F74" s="2"/>
      <c r="G74" s="2"/>
      <c r="K74" t="str">
        <f t="shared" si="5"/>
        <v>case L'': bmcode = 0x0334; break;</v>
      </c>
    </row>
    <row r="75" spans="2:11" ht="26.5" customHeight="1">
      <c r="B75" s="2">
        <v>53</v>
      </c>
      <c r="C75" s="2">
        <f t="shared" si="2"/>
        <v>3</v>
      </c>
      <c r="D75" s="2">
        <f t="shared" si="3"/>
        <v>5</v>
      </c>
      <c r="E75" s="2" t="str">
        <f t="shared" si="4"/>
        <v/>
      </c>
      <c r="F75" s="2"/>
      <c r="G75" s="2"/>
      <c r="K75" t="str">
        <f t="shared" si="5"/>
        <v>case L'': bmcode = 0x0335; break;</v>
      </c>
    </row>
    <row r="76" spans="2:11" ht="26.5" customHeight="1">
      <c r="B76" s="2">
        <v>54</v>
      </c>
      <c r="C76" s="2">
        <f t="shared" si="2"/>
        <v>3</v>
      </c>
      <c r="D76" s="2">
        <f t="shared" si="3"/>
        <v>6</v>
      </c>
      <c r="E76" s="2" t="str">
        <f t="shared" si="4"/>
        <v/>
      </c>
      <c r="F76" s="2"/>
      <c r="G76" s="2"/>
      <c r="K76" t="str">
        <f t="shared" si="5"/>
        <v>case L'': bmcode = 0x0336; break;</v>
      </c>
    </row>
    <row r="77" spans="2:11" ht="26.5" customHeight="1">
      <c r="B77" s="2">
        <v>55</v>
      </c>
      <c r="C77" s="2">
        <f t="shared" si="2"/>
        <v>3</v>
      </c>
      <c r="D77" s="2">
        <f t="shared" si="3"/>
        <v>7</v>
      </c>
      <c r="E77" s="2" t="str">
        <f t="shared" si="4"/>
        <v/>
      </c>
      <c r="F77" s="2"/>
      <c r="G77" s="2"/>
      <c r="K77" t="str">
        <f t="shared" si="5"/>
        <v>case L'': bmcode = 0x0337; break;</v>
      </c>
    </row>
    <row r="78" spans="2:11" ht="26.5" customHeight="1">
      <c r="B78" s="2">
        <v>56</v>
      </c>
      <c r="C78" s="2">
        <f t="shared" si="2"/>
        <v>3</v>
      </c>
      <c r="D78" s="2">
        <f t="shared" si="3"/>
        <v>8</v>
      </c>
      <c r="E78" s="2" t="str">
        <f t="shared" si="4"/>
        <v/>
      </c>
      <c r="F78" s="2"/>
      <c r="G78" s="2"/>
      <c r="K78" t="str">
        <f t="shared" si="5"/>
        <v>case L'': bmcode = 0x0338; break;</v>
      </c>
    </row>
    <row r="79" spans="2:11" ht="26.5" customHeight="1">
      <c r="B79" s="2">
        <v>57</v>
      </c>
      <c r="C79" s="2">
        <f t="shared" si="2"/>
        <v>3</v>
      </c>
      <c r="D79" s="2">
        <f t="shared" si="3"/>
        <v>9</v>
      </c>
      <c r="E79" s="2" t="str">
        <f t="shared" si="4"/>
        <v/>
      </c>
      <c r="F79" s="2"/>
      <c r="G79" s="2"/>
      <c r="K79" t="str">
        <f t="shared" si="5"/>
        <v>case L'': bmcode = 0x0339; break;</v>
      </c>
    </row>
    <row r="80" spans="2:11" ht="26.5" customHeight="1">
      <c r="B80" s="2">
        <v>58</v>
      </c>
      <c r="C80" s="2">
        <f t="shared" si="2"/>
        <v>3</v>
      </c>
      <c r="D80" s="2">
        <f t="shared" si="3"/>
        <v>10</v>
      </c>
      <c r="E80" s="2" t="str">
        <f t="shared" si="4"/>
        <v/>
      </c>
      <c r="F80" s="2"/>
      <c r="G80" s="2"/>
      <c r="K80" t="str">
        <f t="shared" si="5"/>
        <v>case L'': bmcode = 0x033A; break;</v>
      </c>
    </row>
    <row r="81" spans="2:11" ht="26.5" customHeight="1">
      <c r="B81" s="2">
        <v>59</v>
      </c>
      <c r="C81" s="2">
        <f t="shared" si="2"/>
        <v>3</v>
      </c>
      <c r="D81" s="2">
        <f t="shared" si="3"/>
        <v>11</v>
      </c>
      <c r="E81" s="2" t="str">
        <f t="shared" si="4"/>
        <v/>
      </c>
      <c r="F81" s="2"/>
      <c r="G81" s="2"/>
      <c r="K81" t="str">
        <f t="shared" si="5"/>
        <v>case L'': bmcode = 0x033B; break;</v>
      </c>
    </row>
    <row r="82" spans="2:11" ht="26.5" customHeight="1">
      <c r="B82" s="2">
        <v>60</v>
      </c>
      <c r="C82" s="2">
        <f t="shared" si="2"/>
        <v>3</v>
      </c>
      <c r="D82" s="2">
        <f t="shared" si="3"/>
        <v>12</v>
      </c>
      <c r="E82" s="2" t="str">
        <f t="shared" si="4"/>
        <v/>
      </c>
      <c r="F82" s="2"/>
      <c r="G82" s="2"/>
      <c r="K82" t="str">
        <f t="shared" si="5"/>
        <v>case L'': bmcode = 0x033C; break;</v>
      </c>
    </row>
    <row r="83" spans="2:11" ht="26.5" customHeight="1">
      <c r="B83" s="2">
        <v>61</v>
      </c>
      <c r="C83" s="2">
        <f t="shared" si="2"/>
        <v>3</v>
      </c>
      <c r="D83" s="2">
        <f t="shared" si="3"/>
        <v>13</v>
      </c>
      <c r="E83" s="2" t="str">
        <f t="shared" si="4"/>
        <v/>
      </c>
      <c r="F83" s="2"/>
      <c r="G83" s="2"/>
      <c r="K83" t="str">
        <f t="shared" si="5"/>
        <v>case L'': bmcode = 0x033D; break;</v>
      </c>
    </row>
    <row r="84" spans="2:11" ht="26.5" customHeight="1">
      <c r="B84" s="2">
        <v>62</v>
      </c>
      <c r="C84" s="2">
        <f t="shared" si="2"/>
        <v>3</v>
      </c>
      <c r="D84" s="2">
        <f t="shared" si="3"/>
        <v>14</v>
      </c>
      <c r="E84" s="2" t="str">
        <f t="shared" si="4"/>
        <v/>
      </c>
      <c r="F84" s="2"/>
      <c r="G84" s="2"/>
      <c r="K84" t="str">
        <f t="shared" si="5"/>
        <v>case L'': bmcode = 0x033E; break;</v>
      </c>
    </row>
    <row r="85" spans="2:11" ht="26.5" customHeight="1">
      <c r="B85" s="2">
        <v>63</v>
      </c>
      <c r="C85" s="2">
        <f t="shared" si="2"/>
        <v>3</v>
      </c>
      <c r="D85" s="2">
        <f t="shared" si="3"/>
        <v>15</v>
      </c>
      <c r="E85" s="2" t="str">
        <f t="shared" si="4"/>
        <v/>
      </c>
      <c r="F85" s="2"/>
      <c r="G85" s="2"/>
      <c r="K85" t="str">
        <f t="shared" si="5"/>
        <v>case L'': bmcode = 0x033F; break;</v>
      </c>
    </row>
    <row r="86" spans="2:11" ht="26.5" customHeight="1">
      <c r="B86" s="2">
        <v>64</v>
      </c>
      <c r="C86" s="2">
        <f t="shared" si="2"/>
        <v>4</v>
      </c>
      <c r="D86" s="2">
        <f t="shared" si="3"/>
        <v>0</v>
      </c>
      <c r="E86" s="2" t="str">
        <f t="shared" si="4"/>
        <v/>
      </c>
      <c r="F86" s="2"/>
      <c r="G86" s="2"/>
      <c r="K86" t="str">
        <f t="shared" si="5"/>
        <v>case L'': bmcode = 0x0340; break;</v>
      </c>
    </row>
    <row r="87" spans="2:11" ht="26.5" customHeight="1">
      <c r="B87" s="2">
        <v>65</v>
      </c>
      <c r="C87" s="2">
        <f t="shared" ref="C87:C150" si="6">ROUNDDOWN(B87/16,0)</f>
        <v>4</v>
      </c>
      <c r="D87" s="2">
        <f t="shared" ref="D87:D150" si="7">MOD(B87,16)</f>
        <v>1</v>
      </c>
      <c r="E87" s="2" t="str">
        <f t="shared" ref="E87:E150" si="8">IF(INDEX($C$3:$R$18,C87+1,D87+1)="","",INDEX($C$3:$R$18,C87+1,D87+1))</f>
        <v/>
      </c>
      <c r="F87" s="2"/>
      <c r="G87" s="2"/>
      <c r="K87" t="str">
        <f t="shared" ref="K87:K150" si="9">"case "&amp;"L'"&amp;E87&amp;"'"&amp;": "&amp;"bmcode = 0x"&amp;RIGHT("0000"&amp;DEC2HEX($K$19*256+C87*16+D87),4)&amp;"; break;"</f>
        <v>case L'': bmcode = 0x0341; break;</v>
      </c>
    </row>
    <row r="88" spans="2:11" ht="26.5" customHeight="1">
      <c r="B88" s="2">
        <v>66</v>
      </c>
      <c r="C88" s="2">
        <f t="shared" si="6"/>
        <v>4</v>
      </c>
      <c r="D88" s="2">
        <f t="shared" si="7"/>
        <v>2</v>
      </c>
      <c r="E88" s="2" t="str">
        <f t="shared" si="8"/>
        <v/>
      </c>
      <c r="F88" s="2"/>
      <c r="G88" s="2"/>
      <c r="K88" t="str">
        <f t="shared" si="9"/>
        <v>case L'': bmcode = 0x0342; break;</v>
      </c>
    </row>
    <row r="89" spans="2:11" ht="26.5" customHeight="1">
      <c r="B89" s="2">
        <v>67</v>
      </c>
      <c r="C89" s="2">
        <f t="shared" si="6"/>
        <v>4</v>
      </c>
      <c r="D89" s="2">
        <f t="shared" si="7"/>
        <v>3</v>
      </c>
      <c r="E89" s="2" t="str">
        <f t="shared" si="8"/>
        <v/>
      </c>
      <c r="F89" s="2"/>
      <c r="G89" s="2"/>
      <c r="K89" t="str">
        <f t="shared" si="9"/>
        <v>case L'': bmcode = 0x0343; break;</v>
      </c>
    </row>
    <row r="90" spans="2:11" ht="26.5" customHeight="1">
      <c r="B90" s="2">
        <v>68</v>
      </c>
      <c r="C90" s="2">
        <f t="shared" si="6"/>
        <v>4</v>
      </c>
      <c r="D90" s="2">
        <f t="shared" si="7"/>
        <v>4</v>
      </c>
      <c r="E90" s="2" t="str">
        <f t="shared" si="8"/>
        <v/>
      </c>
      <c r="F90" s="2"/>
      <c r="G90" s="2"/>
      <c r="K90" t="str">
        <f t="shared" si="9"/>
        <v>case L'': bmcode = 0x0344; break;</v>
      </c>
    </row>
    <row r="91" spans="2:11" ht="26.5" customHeight="1">
      <c r="B91" s="2">
        <v>69</v>
      </c>
      <c r="C91" s="2">
        <f t="shared" si="6"/>
        <v>4</v>
      </c>
      <c r="D91" s="2">
        <f t="shared" si="7"/>
        <v>5</v>
      </c>
      <c r="E91" s="2" t="str">
        <f t="shared" si="8"/>
        <v/>
      </c>
      <c r="F91" s="2"/>
      <c r="G91" s="2"/>
      <c r="K91" t="str">
        <f t="shared" si="9"/>
        <v>case L'': bmcode = 0x0345; break;</v>
      </c>
    </row>
    <row r="92" spans="2:11" ht="26.5" customHeight="1">
      <c r="B92" s="2">
        <v>70</v>
      </c>
      <c r="C92" s="2">
        <f t="shared" si="6"/>
        <v>4</v>
      </c>
      <c r="D92" s="2">
        <f t="shared" si="7"/>
        <v>6</v>
      </c>
      <c r="E92" s="2" t="str">
        <f t="shared" si="8"/>
        <v/>
      </c>
      <c r="F92" s="2"/>
      <c r="G92" s="2"/>
      <c r="K92" t="str">
        <f t="shared" si="9"/>
        <v>case L'': bmcode = 0x0346; break;</v>
      </c>
    </row>
    <row r="93" spans="2:11" ht="26.5" customHeight="1">
      <c r="B93" s="2">
        <v>71</v>
      </c>
      <c r="C93" s="2">
        <f t="shared" si="6"/>
        <v>4</v>
      </c>
      <c r="D93" s="2">
        <f t="shared" si="7"/>
        <v>7</v>
      </c>
      <c r="E93" s="2" t="str">
        <f t="shared" si="8"/>
        <v/>
      </c>
      <c r="F93" s="2"/>
      <c r="G93" s="2"/>
      <c r="K93" t="str">
        <f t="shared" si="9"/>
        <v>case L'': bmcode = 0x0347; break;</v>
      </c>
    </row>
    <row r="94" spans="2:11" ht="26.5" customHeight="1">
      <c r="B94" s="2">
        <v>72</v>
      </c>
      <c r="C94" s="2">
        <f t="shared" si="6"/>
        <v>4</v>
      </c>
      <c r="D94" s="2">
        <f t="shared" si="7"/>
        <v>8</v>
      </c>
      <c r="E94" s="2" t="str">
        <f t="shared" si="8"/>
        <v/>
      </c>
      <c r="F94" s="2"/>
      <c r="G94" s="2"/>
      <c r="K94" t="str">
        <f t="shared" si="9"/>
        <v>case L'': bmcode = 0x0348; break;</v>
      </c>
    </row>
    <row r="95" spans="2:11" ht="26.5" customHeight="1">
      <c r="B95" s="2">
        <v>73</v>
      </c>
      <c r="C95" s="2">
        <f t="shared" si="6"/>
        <v>4</v>
      </c>
      <c r="D95" s="2">
        <f t="shared" si="7"/>
        <v>9</v>
      </c>
      <c r="E95" s="2" t="str">
        <f t="shared" si="8"/>
        <v/>
      </c>
      <c r="F95" s="2"/>
      <c r="G95" s="2"/>
      <c r="K95" t="str">
        <f t="shared" si="9"/>
        <v>case L'': bmcode = 0x0349; break;</v>
      </c>
    </row>
    <row r="96" spans="2:11" ht="26.5" customHeight="1">
      <c r="B96" s="2">
        <v>74</v>
      </c>
      <c r="C96" s="2">
        <f t="shared" si="6"/>
        <v>4</v>
      </c>
      <c r="D96" s="2">
        <f t="shared" si="7"/>
        <v>10</v>
      </c>
      <c r="E96" s="2" t="str">
        <f t="shared" si="8"/>
        <v/>
      </c>
      <c r="F96" s="2"/>
      <c r="G96" s="2"/>
      <c r="K96" t="str">
        <f t="shared" si="9"/>
        <v>case L'': bmcode = 0x034A; break;</v>
      </c>
    </row>
    <row r="97" spans="2:11" ht="26.5" customHeight="1">
      <c r="B97" s="2">
        <v>75</v>
      </c>
      <c r="C97" s="2">
        <f t="shared" si="6"/>
        <v>4</v>
      </c>
      <c r="D97" s="2">
        <f t="shared" si="7"/>
        <v>11</v>
      </c>
      <c r="E97" s="2" t="str">
        <f t="shared" si="8"/>
        <v/>
      </c>
      <c r="F97" s="2"/>
      <c r="G97" s="2"/>
      <c r="K97" t="str">
        <f t="shared" si="9"/>
        <v>case L'': bmcode = 0x034B; break;</v>
      </c>
    </row>
    <row r="98" spans="2:11" ht="26.5" customHeight="1">
      <c r="B98" s="2">
        <v>76</v>
      </c>
      <c r="C98" s="2">
        <f t="shared" si="6"/>
        <v>4</v>
      </c>
      <c r="D98" s="2">
        <f t="shared" si="7"/>
        <v>12</v>
      </c>
      <c r="E98" s="2" t="str">
        <f t="shared" si="8"/>
        <v/>
      </c>
      <c r="F98" s="2"/>
      <c r="G98" s="2"/>
      <c r="K98" t="str">
        <f t="shared" si="9"/>
        <v>case L'': bmcode = 0x034C; break;</v>
      </c>
    </row>
    <row r="99" spans="2:11" ht="26.5" customHeight="1">
      <c r="B99" s="2">
        <v>77</v>
      </c>
      <c r="C99" s="2">
        <f t="shared" si="6"/>
        <v>4</v>
      </c>
      <c r="D99" s="2">
        <f t="shared" si="7"/>
        <v>13</v>
      </c>
      <c r="E99" s="2" t="str">
        <f t="shared" si="8"/>
        <v/>
      </c>
      <c r="F99" s="2"/>
      <c r="G99" s="2"/>
      <c r="K99" t="str">
        <f t="shared" si="9"/>
        <v>case L'': bmcode = 0x034D; break;</v>
      </c>
    </row>
    <row r="100" spans="2:11" ht="26.5" customHeight="1">
      <c r="B100" s="2">
        <v>78</v>
      </c>
      <c r="C100" s="2">
        <f t="shared" si="6"/>
        <v>4</v>
      </c>
      <c r="D100" s="2">
        <f t="shared" si="7"/>
        <v>14</v>
      </c>
      <c r="E100" s="2" t="str">
        <f t="shared" si="8"/>
        <v/>
      </c>
      <c r="F100" s="2"/>
      <c r="G100" s="2"/>
      <c r="K100" t="str">
        <f t="shared" si="9"/>
        <v>case L'': bmcode = 0x034E; break;</v>
      </c>
    </row>
    <row r="101" spans="2:11" ht="26.5" customHeight="1">
      <c r="B101" s="2">
        <v>79</v>
      </c>
      <c r="C101" s="2">
        <f t="shared" si="6"/>
        <v>4</v>
      </c>
      <c r="D101" s="2">
        <f t="shared" si="7"/>
        <v>15</v>
      </c>
      <c r="E101" s="2" t="str">
        <f t="shared" si="8"/>
        <v/>
      </c>
      <c r="F101" s="2"/>
      <c r="G101" s="2"/>
      <c r="K101" t="str">
        <f t="shared" si="9"/>
        <v>case L'': bmcode = 0x034F; break;</v>
      </c>
    </row>
    <row r="102" spans="2:11" ht="26.5" customHeight="1">
      <c r="B102" s="2">
        <v>80</v>
      </c>
      <c r="C102" s="2">
        <f t="shared" si="6"/>
        <v>5</v>
      </c>
      <c r="D102" s="2">
        <f t="shared" si="7"/>
        <v>0</v>
      </c>
      <c r="E102" s="2" t="str">
        <f t="shared" si="8"/>
        <v/>
      </c>
      <c r="F102" s="2"/>
      <c r="G102" s="2"/>
      <c r="K102" t="str">
        <f t="shared" si="9"/>
        <v>case L'': bmcode = 0x0350; break;</v>
      </c>
    </row>
    <row r="103" spans="2:11" ht="26.5" customHeight="1">
      <c r="B103" s="2">
        <v>81</v>
      </c>
      <c r="C103" s="2">
        <f t="shared" si="6"/>
        <v>5</v>
      </c>
      <c r="D103" s="2">
        <f t="shared" si="7"/>
        <v>1</v>
      </c>
      <c r="E103" s="2" t="str">
        <f t="shared" si="8"/>
        <v/>
      </c>
      <c r="F103" s="2"/>
      <c r="G103" s="2"/>
      <c r="K103" t="str">
        <f t="shared" si="9"/>
        <v>case L'': bmcode = 0x0351; break;</v>
      </c>
    </row>
    <row r="104" spans="2:11" ht="26.5" customHeight="1">
      <c r="B104" s="2">
        <v>82</v>
      </c>
      <c r="C104" s="2">
        <f t="shared" si="6"/>
        <v>5</v>
      </c>
      <c r="D104" s="2">
        <f t="shared" si="7"/>
        <v>2</v>
      </c>
      <c r="E104" s="2" t="str">
        <f t="shared" si="8"/>
        <v/>
      </c>
      <c r="F104" s="2"/>
      <c r="G104" s="2"/>
      <c r="K104" t="str">
        <f t="shared" si="9"/>
        <v>case L'': bmcode = 0x0352; break;</v>
      </c>
    </row>
    <row r="105" spans="2:11" ht="26.5" customHeight="1">
      <c r="B105" s="2">
        <v>83</v>
      </c>
      <c r="C105" s="2">
        <f t="shared" si="6"/>
        <v>5</v>
      </c>
      <c r="D105" s="2">
        <f t="shared" si="7"/>
        <v>3</v>
      </c>
      <c r="E105" s="2" t="str">
        <f t="shared" si="8"/>
        <v/>
      </c>
      <c r="F105" s="2"/>
      <c r="G105" s="2"/>
      <c r="K105" t="str">
        <f t="shared" si="9"/>
        <v>case L'': bmcode = 0x0353; break;</v>
      </c>
    </row>
    <row r="106" spans="2:11" ht="26.5" customHeight="1">
      <c r="B106" s="2">
        <v>84</v>
      </c>
      <c r="C106" s="2">
        <f t="shared" si="6"/>
        <v>5</v>
      </c>
      <c r="D106" s="2">
        <f t="shared" si="7"/>
        <v>4</v>
      </c>
      <c r="E106" s="2" t="str">
        <f t="shared" si="8"/>
        <v/>
      </c>
      <c r="F106" s="2"/>
      <c r="G106" s="2"/>
      <c r="K106" t="str">
        <f t="shared" si="9"/>
        <v>case L'': bmcode = 0x0354; break;</v>
      </c>
    </row>
    <row r="107" spans="2:11" ht="26.5" customHeight="1">
      <c r="B107" s="2">
        <v>85</v>
      </c>
      <c r="C107" s="2">
        <f t="shared" si="6"/>
        <v>5</v>
      </c>
      <c r="D107" s="2">
        <f t="shared" si="7"/>
        <v>5</v>
      </c>
      <c r="E107" s="2" t="str">
        <f t="shared" si="8"/>
        <v/>
      </c>
      <c r="F107" s="2"/>
      <c r="G107" s="2"/>
      <c r="K107" t="str">
        <f t="shared" si="9"/>
        <v>case L'': bmcode = 0x0355; break;</v>
      </c>
    </row>
    <row r="108" spans="2:11" ht="26.5" customHeight="1">
      <c r="B108" s="2">
        <v>86</v>
      </c>
      <c r="C108" s="2">
        <f t="shared" si="6"/>
        <v>5</v>
      </c>
      <c r="D108" s="2">
        <f t="shared" si="7"/>
        <v>6</v>
      </c>
      <c r="E108" s="2" t="str">
        <f t="shared" si="8"/>
        <v/>
      </c>
      <c r="F108" s="2"/>
      <c r="G108" s="2"/>
      <c r="K108" t="str">
        <f t="shared" si="9"/>
        <v>case L'': bmcode = 0x0356; break;</v>
      </c>
    </row>
    <row r="109" spans="2:11" ht="26.5" customHeight="1">
      <c r="B109" s="2">
        <v>87</v>
      </c>
      <c r="C109" s="2">
        <f t="shared" si="6"/>
        <v>5</v>
      </c>
      <c r="D109" s="2">
        <f t="shared" si="7"/>
        <v>7</v>
      </c>
      <c r="E109" s="2" t="str">
        <f t="shared" si="8"/>
        <v/>
      </c>
      <c r="F109" s="2"/>
      <c r="G109" s="2"/>
      <c r="K109" t="str">
        <f t="shared" si="9"/>
        <v>case L'': bmcode = 0x0357; break;</v>
      </c>
    </row>
    <row r="110" spans="2:11" ht="26.5" customHeight="1">
      <c r="B110" s="2">
        <v>88</v>
      </c>
      <c r="C110" s="2">
        <f t="shared" si="6"/>
        <v>5</v>
      </c>
      <c r="D110" s="2">
        <f t="shared" si="7"/>
        <v>8</v>
      </c>
      <c r="E110" s="2" t="str">
        <f t="shared" si="8"/>
        <v/>
      </c>
      <c r="F110" s="2"/>
      <c r="G110" s="2"/>
      <c r="K110" t="str">
        <f t="shared" si="9"/>
        <v>case L'': bmcode = 0x0358; break;</v>
      </c>
    </row>
    <row r="111" spans="2:11" ht="26.5" customHeight="1">
      <c r="B111" s="2">
        <v>89</v>
      </c>
      <c r="C111" s="2">
        <f t="shared" si="6"/>
        <v>5</v>
      </c>
      <c r="D111" s="2">
        <f t="shared" si="7"/>
        <v>9</v>
      </c>
      <c r="E111" s="2" t="str">
        <f t="shared" si="8"/>
        <v/>
      </c>
      <c r="F111" s="2"/>
      <c r="G111" s="2"/>
      <c r="K111" t="str">
        <f t="shared" si="9"/>
        <v>case L'': bmcode = 0x0359; break;</v>
      </c>
    </row>
    <row r="112" spans="2:11" ht="26.5" customHeight="1">
      <c r="B112" s="2">
        <v>90</v>
      </c>
      <c r="C112" s="2">
        <f t="shared" si="6"/>
        <v>5</v>
      </c>
      <c r="D112" s="2">
        <f t="shared" si="7"/>
        <v>10</v>
      </c>
      <c r="E112" s="2" t="str">
        <f t="shared" si="8"/>
        <v/>
      </c>
      <c r="F112" s="2"/>
      <c r="G112" s="2"/>
      <c r="K112" t="str">
        <f t="shared" si="9"/>
        <v>case L'': bmcode = 0x035A; break;</v>
      </c>
    </row>
    <row r="113" spans="2:11" ht="26.5" customHeight="1">
      <c r="B113" s="2">
        <v>91</v>
      </c>
      <c r="C113" s="2">
        <f t="shared" si="6"/>
        <v>5</v>
      </c>
      <c r="D113" s="2">
        <f t="shared" si="7"/>
        <v>11</v>
      </c>
      <c r="E113" s="2" t="str">
        <f t="shared" si="8"/>
        <v/>
      </c>
      <c r="F113" s="2"/>
      <c r="G113" s="2"/>
      <c r="K113" t="str">
        <f t="shared" si="9"/>
        <v>case L'': bmcode = 0x035B; break;</v>
      </c>
    </row>
    <row r="114" spans="2:11" ht="26.5" customHeight="1">
      <c r="B114" s="2">
        <v>92</v>
      </c>
      <c r="C114" s="2">
        <f t="shared" si="6"/>
        <v>5</v>
      </c>
      <c r="D114" s="2">
        <f t="shared" si="7"/>
        <v>12</v>
      </c>
      <c r="E114" s="2" t="str">
        <f t="shared" si="8"/>
        <v/>
      </c>
      <c r="F114" s="2"/>
      <c r="G114" s="2"/>
      <c r="K114" t="str">
        <f t="shared" si="9"/>
        <v>case L'': bmcode = 0x035C; break;</v>
      </c>
    </row>
    <row r="115" spans="2:11" ht="26.5" customHeight="1">
      <c r="B115" s="2">
        <v>93</v>
      </c>
      <c r="C115" s="2">
        <f t="shared" si="6"/>
        <v>5</v>
      </c>
      <c r="D115" s="2">
        <f t="shared" si="7"/>
        <v>13</v>
      </c>
      <c r="E115" s="2" t="str">
        <f t="shared" si="8"/>
        <v/>
      </c>
      <c r="F115" s="2"/>
      <c r="G115" s="2"/>
      <c r="K115" t="str">
        <f t="shared" si="9"/>
        <v>case L'': bmcode = 0x035D; break;</v>
      </c>
    </row>
    <row r="116" spans="2:11" ht="26.5" customHeight="1">
      <c r="B116" s="2">
        <v>94</v>
      </c>
      <c r="C116" s="2">
        <f t="shared" si="6"/>
        <v>5</v>
      </c>
      <c r="D116" s="2">
        <f t="shared" si="7"/>
        <v>14</v>
      </c>
      <c r="E116" s="2" t="str">
        <f t="shared" si="8"/>
        <v/>
      </c>
      <c r="F116" s="2"/>
      <c r="G116" s="2"/>
      <c r="K116" t="str">
        <f t="shared" si="9"/>
        <v>case L'': bmcode = 0x035E; break;</v>
      </c>
    </row>
    <row r="117" spans="2:11" ht="26.5" customHeight="1">
      <c r="B117" s="2">
        <v>95</v>
      </c>
      <c r="C117" s="2">
        <f t="shared" si="6"/>
        <v>5</v>
      </c>
      <c r="D117" s="2">
        <f t="shared" si="7"/>
        <v>15</v>
      </c>
      <c r="E117" s="2" t="str">
        <f t="shared" si="8"/>
        <v/>
      </c>
      <c r="F117" s="2"/>
      <c r="G117" s="2"/>
      <c r="K117" t="str">
        <f t="shared" si="9"/>
        <v>case L'': bmcode = 0x035F; break;</v>
      </c>
    </row>
    <row r="118" spans="2:11" ht="26.5" customHeight="1">
      <c r="B118" s="2">
        <v>96</v>
      </c>
      <c r="C118" s="2">
        <f t="shared" si="6"/>
        <v>6</v>
      </c>
      <c r="D118" s="2">
        <f t="shared" si="7"/>
        <v>0</v>
      </c>
      <c r="E118" s="2" t="str">
        <f t="shared" si="8"/>
        <v/>
      </c>
      <c r="F118" s="2"/>
      <c r="G118" s="2"/>
      <c r="K118" t="str">
        <f t="shared" si="9"/>
        <v>case L'': bmcode = 0x0360; break;</v>
      </c>
    </row>
    <row r="119" spans="2:11" ht="26.5" customHeight="1">
      <c r="B119" s="2">
        <v>97</v>
      </c>
      <c r="C119" s="2">
        <f t="shared" si="6"/>
        <v>6</v>
      </c>
      <c r="D119" s="2">
        <f t="shared" si="7"/>
        <v>1</v>
      </c>
      <c r="E119" s="2" t="str">
        <f t="shared" si="8"/>
        <v/>
      </c>
      <c r="F119" s="2"/>
      <c r="G119" s="2"/>
      <c r="K119" t="str">
        <f t="shared" si="9"/>
        <v>case L'': bmcode = 0x0361; break;</v>
      </c>
    </row>
    <row r="120" spans="2:11" ht="26.5" customHeight="1">
      <c r="B120" s="2">
        <v>98</v>
      </c>
      <c r="C120" s="2">
        <f t="shared" si="6"/>
        <v>6</v>
      </c>
      <c r="D120" s="2">
        <f t="shared" si="7"/>
        <v>2</v>
      </c>
      <c r="E120" s="2" t="str">
        <f t="shared" si="8"/>
        <v/>
      </c>
      <c r="F120" s="2"/>
      <c r="G120" s="2"/>
      <c r="K120" t="str">
        <f t="shared" si="9"/>
        <v>case L'': bmcode = 0x0362; break;</v>
      </c>
    </row>
    <row r="121" spans="2:11" ht="26.5" customHeight="1">
      <c r="B121" s="2">
        <v>99</v>
      </c>
      <c r="C121" s="2">
        <f t="shared" si="6"/>
        <v>6</v>
      </c>
      <c r="D121" s="2">
        <f t="shared" si="7"/>
        <v>3</v>
      </c>
      <c r="E121" s="2" t="str">
        <f t="shared" si="8"/>
        <v/>
      </c>
      <c r="F121" s="2"/>
      <c r="G121" s="2"/>
      <c r="K121" t="str">
        <f t="shared" si="9"/>
        <v>case L'': bmcode = 0x0363; break;</v>
      </c>
    </row>
    <row r="122" spans="2:11" ht="26.5" customHeight="1">
      <c r="B122" s="2">
        <v>100</v>
      </c>
      <c r="C122" s="2">
        <f t="shared" si="6"/>
        <v>6</v>
      </c>
      <c r="D122" s="2">
        <f t="shared" si="7"/>
        <v>4</v>
      </c>
      <c r="E122" s="2" t="str">
        <f t="shared" si="8"/>
        <v/>
      </c>
      <c r="F122" s="2"/>
      <c r="G122" s="2"/>
      <c r="K122" t="str">
        <f t="shared" si="9"/>
        <v>case L'': bmcode = 0x0364; break;</v>
      </c>
    </row>
    <row r="123" spans="2:11" ht="26.5" customHeight="1">
      <c r="B123" s="2">
        <v>101</v>
      </c>
      <c r="C123" s="2">
        <f t="shared" si="6"/>
        <v>6</v>
      </c>
      <c r="D123" s="2">
        <f t="shared" si="7"/>
        <v>5</v>
      </c>
      <c r="E123" s="2" t="str">
        <f t="shared" si="8"/>
        <v/>
      </c>
      <c r="F123" s="2"/>
      <c r="G123" s="2"/>
      <c r="K123" t="str">
        <f t="shared" si="9"/>
        <v>case L'': bmcode = 0x0365; break;</v>
      </c>
    </row>
    <row r="124" spans="2:11" ht="26.5" customHeight="1">
      <c r="B124" s="2">
        <v>102</v>
      </c>
      <c r="C124" s="2">
        <f t="shared" si="6"/>
        <v>6</v>
      </c>
      <c r="D124" s="2">
        <f t="shared" si="7"/>
        <v>6</v>
      </c>
      <c r="E124" s="2" t="str">
        <f t="shared" si="8"/>
        <v/>
      </c>
      <c r="F124" s="2"/>
      <c r="G124" s="2"/>
      <c r="K124" t="str">
        <f t="shared" si="9"/>
        <v>case L'': bmcode = 0x0366; break;</v>
      </c>
    </row>
    <row r="125" spans="2:11" ht="26.5" customHeight="1">
      <c r="B125" s="2">
        <v>103</v>
      </c>
      <c r="C125" s="2">
        <f t="shared" si="6"/>
        <v>6</v>
      </c>
      <c r="D125" s="2">
        <f t="shared" si="7"/>
        <v>7</v>
      </c>
      <c r="E125" s="2" t="str">
        <f t="shared" si="8"/>
        <v/>
      </c>
      <c r="F125" s="2"/>
      <c r="G125" s="2"/>
      <c r="K125" t="str">
        <f t="shared" si="9"/>
        <v>case L'': bmcode = 0x0367; break;</v>
      </c>
    </row>
    <row r="126" spans="2:11" ht="26.5" customHeight="1">
      <c r="B126" s="2">
        <v>104</v>
      </c>
      <c r="C126" s="2">
        <f t="shared" si="6"/>
        <v>6</v>
      </c>
      <c r="D126" s="2">
        <f t="shared" si="7"/>
        <v>8</v>
      </c>
      <c r="E126" s="2" t="str">
        <f t="shared" si="8"/>
        <v/>
      </c>
      <c r="F126" s="2"/>
      <c r="G126" s="2"/>
      <c r="K126" t="str">
        <f t="shared" si="9"/>
        <v>case L'': bmcode = 0x0368; break;</v>
      </c>
    </row>
    <row r="127" spans="2:11" ht="26.5" customHeight="1">
      <c r="B127" s="2">
        <v>105</v>
      </c>
      <c r="C127" s="2">
        <f t="shared" si="6"/>
        <v>6</v>
      </c>
      <c r="D127" s="2">
        <f t="shared" si="7"/>
        <v>9</v>
      </c>
      <c r="E127" s="2" t="str">
        <f t="shared" si="8"/>
        <v/>
      </c>
      <c r="F127" s="2"/>
      <c r="G127" s="2"/>
      <c r="K127" t="str">
        <f t="shared" si="9"/>
        <v>case L'': bmcode = 0x0369; break;</v>
      </c>
    </row>
    <row r="128" spans="2:11" ht="26.5" customHeight="1">
      <c r="B128" s="2">
        <v>106</v>
      </c>
      <c r="C128" s="2">
        <f t="shared" si="6"/>
        <v>6</v>
      </c>
      <c r="D128" s="2">
        <f t="shared" si="7"/>
        <v>10</v>
      </c>
      <c r="E128" s="2" t="str">
        <f t="shared" si="8"/>
        <v/>
      </c>
      <c r="F128" s="2"/>
      <c r="G128" s="2"/>
      <c r="K128" t="str">
        <f t="shared" si="9"/>
        <v>case L'': bmcode = 0x036A; break;</v>
      </c>
    </row>
    <row r="129" spans="2:11" ht="26.5" customHeight="1">
      <c r="B129" s="2">
        <v>107</v>
      </c>
      <c r="C129" s="2">
        <f t="shared" si="6"/>
        <v>6</v>
      </c>
      <c r="D129" s="2">
        <f t="shared" si="7"/>
        <v>11</v>
      </c>
      <c r="E129" s="2" t="str">
        <f t="shared" si="8"/>
        <v/>
      </c>
      <c r="F129" s="2"/>
      <c r="G129" s="2"/>
      <c r="K129" t="str">
        <f t="shared" si="9"/>
        <v>case L'': bmcode = 0x036B; break;</v>
      </c>
    </row>
    <row r="130" spans="2:11" ht="26.5" customHeight="1">
      <c r="B130" s="2">
        <v>108</v>
      </c>
      <c r="C130" s="2">
        <f t="shared" si="6"/>
        <v>6</v>
      </c>
      <c r="D130" s="2">
        <f t="shared" si="7"/>
        <v>12</v>
      </c>
      <c r="E130" s="2" t="str">
        <f t="shared" si="8"/>
        <v/>
      </c>
      <c r="F130" s="2"/>
      <c r="G130" s="2"/>
      <c r="K130" t="str">
        <f t="shared" si="9"/>
        <v>case L'': bmcode = 0x036C; break;</v>
      </c>
    </row>
    <row r="131" spans="2:11" ht="26.5" customHeight="1">
      <c r="B131" s="2">
        <v>109</v>
      </c>
      <c r="C131" s="2">
        <f t="shared" si="6"/>
        <v>6</v>
      </c>
      <c r="D131" s="2">
        <f t="shared" si="7"/>
        <v>13</v>
      </c>
      <c r="E131" s="2" t="str">
        <f t="shared" si="8"/>
        <v/>
      </c>
      <c r="F131" s="2"/>
      <c r="G131" s="2"/>
      <c r="K131" t="str">
        <f t="shared" si="9"/>
        <v>case L'': bmcode = 0x036D; break;</v>
      </c>
    </row>
    <row r="132" spans="2:11" ht="26.5" customHeight="1">
      <c r="B132" s="2">
        <v>110</v>
      </c>
      <c r="C132" s="2">
        <f t="shared" si="6"/>
        <v>6</v>
      </c>
      <c r="D132" s="2">
        <f t="shared" si="7"/>
        <v>14</v>
      </c>
      <c r="E132" s="2" t="str">
        <f t="shared" si="8"/>
        <v/>
      </c>
      <c r="F132" s="2"/>
      <c r="G132" s="2"/>
      <c r="K132" t="str">
        <f t="shared" si="9"/>
        <v>case L'': bmcode = 0x036E; break;</v>
      </c>
    </row>
    <row r="133" spans="2:11" ht="26.5" customHeight="1">
      <c r="B133" s="2">
        <v>111</v>
      </c>
      <c r="C133" s="2">
        <f t="shared" si="6"/>
        <v>6</v>
      </c>
      <c r="D133" s="2">
        <f t="shared" si="7"/>
        <v>15</v>
      </c>
      <c r="E133" s="2" t="str">
        <f t="shared" si="8"/>
        <v/>
      </c>
      <c r="F133" s="2"/>
      <c r="G133" s="2"/>
      <c r="K133" t="str">
        <f t="shared" si="9"/>
        <v>case L'': bmcode = 0x036F; break;</v>
      </c>
    </row>
    <row r="134" spans="2:11" ht="26.5" customHeight="1">
      <c r="B134" s="2">
        <v>112</v>
      </c>
      <c r="C134" s="2">
        <f t="shared" si="6"/>
        <v>7</v>
      </c>
      <c r="D134" s="2">
        <f t="shared" si="7"/>
        <v>0</v>
      </c>
      <c r="E134" s="2" t="str">
        <f t="shared" si="8"/>
        <v/>
      </c>
      <c r="F134" s="2"/>
      <c r="G134" s="2"/>
      <c r="K134" t="str">
        <f t="shared" si="9"/>
        <v>case L'': bmcode = 0x0370; break;</v>
      </c>
    </row>
    <row r="135" spans="2:11" ht="26.5" customHeight="1">
      <c r="B135" s="2">
        <v>113</v>
      </c>
      <c r="C135" s="2">
        <f t="shared" si="6"/>
        <v>7</v>
      </c>
      <c r="D135" s="2">
        <f t="shared" si="7"/>
        <v>1</v>
      </c>
      <c r="E135" s="2" t="str">
        <f t="shared" si="8"/>
        <v/>
      </c>
      <c r="F135" s="2"/>
      <c r="G135" s="2"/>
      <c r="K135" t="str">
        <f t="shared" si="9"/>
        <v>case L'': bmcode = 0x0371; break;</v>
      </c>
    </row>
    <row r="136" spans="2:11" ht="26.5" customHeight="1">
      <c r="B136" s="2">
        <v>114</v>
      </c>
      <c r="C136" s="2">
        <f t="shared" si="6"/>
        <v>7</v>
      </c>
      <c r="D136" s="2">
        <f t="shared" si="7"/>
        <v>2</v>
      </c>
      <c r="E136" s="2" t="str">
        <f t="shared" si="8"/>
        <v/>
      </c>
      <c r="F136" s="2"/>
      <c r="G136" s="2"/>
      <c r="K136" t="str">
        <f t="shared" si="9"/>
        <v>case L'': bmcode = 0x0372; break;</v>
      </c>
    </row>
    <row r="137" spans="2:11" ht="26.5" customHeight="1">
      <c r="B137" s="2">
        <v>115</v>
      </c>
      <c r="C137" s="2">
        <f t="shared" si="6"/>
        <v>7</v>
      </c>
      <c r="D137" s="2">
        <f t="shared" si="7"/>
        <v>3</v>
      </c>
      <c r="E137" s="2" t="str">
        <f t="shared" si="8"/>
        <v/>
      </c>
      <c r="F137" s="2"/>
      <c r="G137" s="2"/>
      <c r="K137" t="str">
        <f t="shared" si="9"/>
        <v>case L'': bmcode = 0x0373; break;</v>
      </c>
    </row>
    <row r="138" spans="2:11" ht="26.5" customHeight="1">
      <c r="B138" s="2">
        <v>116</v>
      </c>
      <c r="C138" s="2">
        <f t="shared" si="6"/>
        <v>7</v>
      </c>
      <c r="D138" s="2">
        <f t="shared" si="7"/>
        <v>4</v>
      </c>
      <c r="E138" s="2" t="str">
        <f t="shared" si="8"/>
        <v/>
      </c>
      <c r="F138" s="2"/>
      <c r="G138" s="2"/>
      <c r="K138" t="str">
        <f t="shared" si="9"/>
        <v>case L'': bmcode = 0x0374; break;</v>
      </c>
    </row>
    <row r="139" spans="2:11" ht="26.5" customHeight="1">
      <c r="B139" s="2">
        <v>117</v>
      </c>
      <c r="C139" s="2">
        <f t="shared" si="6"/>
        <v>7</v>
      </c>
      <c r="D139" s="2">
        <f t="shared" si="7"/>
        <v>5</v>
      </c>
      <c r="E139" s="2" t="str">
        <f t="shared" si="8"/>
        <v/>
      </c>
      <c r="F139" s="2"/>
      <c r="G139" s="2"/>
      <c r="K139" t="str">
        <f t="shared" si="9"/>
        <v>case L'': bmcode = 0x0375; break;</v>
      </c>
    </row>
    <row r="140" spans="2:11" ht="26.5" customHeight="1">
      <c r="B140" s="2">
        <v>118</v>
      </c>
      <c r="C140" s="2">
        <f t="shared" si="6"/>
        <v>7</v>
      </c>
      <c r="D140" s="2">
        <f t="shared" si="7"/>
        <v>6</v>
      </c>
      <c r="E140" s="2" t="str">
        <f t="shared" si="8"/>
        <v/>
      </c>
      <c r="F140" s="2"/>
      <c r="G140" s="2"/>
      <c r="K140" t="str">
        <f t="shared" si="9"/>
        <v>case L'': bmcode = 0x0376; break;</v>
      </c>
    </row>
    <row r="141" spans="2:11" ht="26.5" customHeight="1">
      <c r="B141" s="2">
        <v>119</v>
      </c>
      <c r="C141" s="2">
        <f t="shared" si="6"/>
        <v>7</v>
      </c>
      <c r="D141" s="2">
        <f t="shared" si="7"/>
        <v>7</v>
      </c>
      <c r="E141" s="2" t="str">
        <f t="shared" si="8"/>
        <v/>
      </c>
      <c r="F141" s="2"/>
      <c r="G141" s="2"/>
      <c r="K141" t="str">
        <f t="shared" si="9"/>
        <v>case L'': bmcode = 0x0377; break;</v>
      </c>
    </row>
    <row r="142" spans="2:11" ht="26.5" customHeight="1">
      <c r="B142" s="2">
        <v>120</v>
      </c>
      <c r="C142" s="2">
        <f t="shared" si="6"/>
        <v>7</v>
      </c>
      <c r="D142" s="2">
        <f t="shared" si="7"/>
        <v>8</v>
      </c>
      <c r="E142" s="2" t="str">
        <f t="shared" si="8"/>
        <v/>
      </c>
      <c r="F142" s="2"/>
      <c r="G142" s="2"/>
      <c r="K142" t="str">
        <f t="shared" si="9"/>
        <v>case L'': bmcode = 0x0378; break;</v>
      </c>
    </row>
    <row r="143" spans="2:11" ht="26.5" customHeight="1">
      <c r="B143" s="2">
        <v>121</v>
      </c>
      <c r="C143" s="2">
        <f t="shared" si="6"/>
        <v>7</v>
      </c>
      <c r="D143" s="2">
        <f t="shared" si="7"/>
        <v>9</v>
      </c>
      <c r="E143" s="2" t="str">
        <f t="shared" si="8"/>
        <v/>
      </c>
      <c r="F143" s="2"/>
      <c r="G143" s="2"/>
      <c r="K143" t="str">
        <f t="shared" si="9"/>
        <v>case L'': bmcode = 0x0379; break;</v>
      </c>
    </row>
    <row r="144" spans="2:11" ht="26.5" customHeight="1">
      <c r="B144" s="2">
        <v>122</v>
      </c>
      <c r="C144" s="2">
        <f t="shared" si="6"/>
        <v>7</v>
      </c>
      <c r="D144" s="2">
        <f t="shared" si="7"/>
        <v>10</v>
      </c>
      <c r="E144" s="2" t="str">
        <f t="shared" si="8"/>
        <v/>
      </c>
      <c r="F144" s="2"/>
      <c r="G144" s="2"/>
      <c r="K144" t="str">
        <f t="shared" si="9"/>
        <v>case L'': bmcode = 0x037A; break;</v>
      </c>
    </row>
    <row r="145" spans="2:11" ht="26.5" customHeight="1">
      <c r="B145" s="2">
        <v>123</v>
      </c>
      <c r="C145" s="2">
        <f t="shared" si="6"/>
        <v>7</v>
      </c>
      <c r="D145" s="2">
        <f t="shared" si="7"/>
        <v>11</v>
      </c>
      <c r="E145" s="2" t="str">
        <f t="shared" si="8"/>
        <v/>
      </c>
      <c r="F145" s="2"/>
      <c r="G145" s="2"/>
      <c r="K145" t="str">
        <f t="shared" si="9"/>
        <v>case L'': bmcode = 0x037B; break;</v>
      </c>
    </row>
    <row r="146" spans="2:11" ht="26.5" customHeight="1">
      <c r="B146" s="2">
        <v>124</v>
      </c>
      <c r="C146" s="2">
        <f t="shared" si="6"/>
        <v>7</v>
      </c>
      <c r="D146" s="2">
        <f t="shared" si="7"/>
        <v>12</v>
      </c>
      <c r="E146" s="2" t="str">
        <f t="shared" si="8"/>
        <v/>
      </c>
      <c r="F146" s="2"/>
      <c r="G146" s="2"/>
      <c r="K146" t="str">
        <f t="shared" si="9"/>
        <v>case L'': bmcode = 0x037C; break;</v>
      </c>
    </row>
    <row r="147" spans="2:11" ht="26.5" customHeight="1">
      <c r="B147" s="2">
        <v>125</v>
      </c>
      <c r="C147" s="2">
        <f t="shared" si="6"/>
        <v>7</v>
      </c>
      <c r="D147" s="2">
        <f t="shared" si="7"/>
        <v>13</v>
      </c>
      <c r="E147" s="2" t="str">
        <f t="shared" si="8"/>
        <v/>
      </c>
      <c r="F147" s="2"/>
      <c r="G147" s="2"/>
      <c r="K147" t="str">
        <f t="shared" si="9"/>
        <v>case L'': bmcode = 0x037D; break;</v>
      </c>
    </row>
    <row r="148" spans="2:11" ht="26.5" customHeight="1">
      <c r="B148" s="2">
        <v>126</v>
      </c>
      <c r="C148" s="2">
        <f t="shared" si="6"/>
        <v>7</v>
      </c>
      <c r="D148" s="2">
        <f t="shared" si="7"/>
        <v>14</v>
      </c>
      <c r="E148" s="2" t="str">
        <f t="shared" si="8"/>
        <v/>
      </c>
      <c r="F148" s="2"/>
      <c r="G148" s="2"/>
      <c r="K148" t="str">
        <f t="shared" si="9"/>
        <v>case L'': bmcode = 0x037E; break;</v>
      </c>
    </row>
    <row r="149" spans="2:11" ht="26.5" customHeight="1">
      <c r="B149" s="2">
        <v>127</v>
      </c>
      <c r="C149" s="2">
        <f t="shared" si="6"/>
        <v>7</v>
      </c>
      <c r="D149" s="2">
        <f t="shared" si="7"/>
        <v>15</v>
      </c>
      <c r="E149" s="2" t="str">
        <f t="shared" si="8"/>
        <v/>
      </c>
      <c r="F149" s="2"/>
      <c r="G149" s="2"/>
      <c r="K149" t="str">
        <f t="shared" si="9"/>
        <v>case L'': bmcode = 0x037F; break;</v>
      </c>
    </row>
    <row r="150" spans="2:11" ht="26.5" customHeight="1">
      <c r="B150" s="2">
        <v>128</v>
      </c>
      <c r="C150" s="2">
        <f t="shared" si="6"/>
        <v>8</v>
      </c>
      <c r="D150" s="2">
        <f t="shared" si="7"/>
        <v>0</v>
      </c>
      <c r="E150" s="2" t="str">
        <f t="shared" si="8"/>
        <v/>
      </c>
      <c r="F150" s="2"/>
      <c r="G150" s="2"/>
      <c r="K150" t="str">
        <f t="shared" si="9"/>
        <v>case L'': bmcode = 0x0380; break;</v>
      </c>
    </row>
    <row r="151" spans="2:11" ht="26.5" customHeight="1">
      <c r="B151" s="2">
        <v>129</v>
      </c>
      <c r="C151" s="2">
        <f t="shared" ref="C151:C214" si="10">ROUNDDOWN(B151/16,0)</f>
        <v>8</v>
      </c>
      <c r="D151" s="2">
        <f t="shared" ref="D151:D214" si="11">MOD(B151,16)</f>
        <v>1</v>
      </c>
      <c r="E151" s="2" t="str">
        <f t="shared" ref="E151:E214" si="12">IF(INDEX($C$3:$R$18,C151+1,D151+1)="","",INDEX($C$3:$R$18,C151+1,D151+1))</f>
        <v/>
      </c>
      <c r="F151" s="2"/>
      <c r="G151" s="2"/>
      <c r="K151" t="str">
        <f t="shared" ref="K151:K214" si="13">"case "&amp;"L'"&amp;E151&amp;"'"&amp;": "&amp;"bmcode = 0x"&amp;RIGHT("0000"&amp;DEC2HEX($K$19*256+C151*16+D151),4)&amp;"; break;"</f>
        <v>case L'': bmcode = 0x0381; break;</v>
      </c>
    </row>
    <row r="152" spans="2:11" ht="26.5" customHeight="1">
      <c r="B152" s="2">
        <v>130</v>
      </c>
      <c r="C152" s="2">
        <f t="shared" si="10"/>
        <v>8</v>
      </c>
      <c r="D152" s="2">
        <f t="shared" si="11"/>
        <v>2</v>
      </c>
      <c r="E152" s="2" t="str">
        <f t="shared" si="12"/>
        <v/>
      </c>
      <c r="F152" s="2"/>
      <c r="G152" s="2"/>
      <c r="K152" t="str">
        <f t="shared" si="13"/>
        <v>case L'': bmcode = 0x0382; break;</v>
      </c>
    </row>
    <row r="153" spans="2:11" ht="26.5" customHeight="1">
      <c r="B153" s="2">
        <v>131</v>
      </c>
      <c r="C153" s="2">
        <f t="shared" si="10"/>
        <v>8</v>
      </c>
      <c r="D153" s="2">
        <f t="shared" si="11"/>
        <v>3</v>
      </c>
      <c r="E153" s="2" t="str">
        <f t="shared" si="12"/>
        <v/>
      </c>
      <c r="F153" s="2"/>
      <c r="G153" s="2"/>
      <c r="K153" t="str">
        <f t="shared" si="13"/>
        <v>case L'': bmcode = 0x0383; break;</v>
      </c>
    </row>
    <row r="154" spans="2:11" ht="26.5" customHeight="1">
      <c r="B154" s="2">
        <v>132</v>
      </c>
      <c r="C154" s="2">
        <f t="shared" si="10"/>
        <v>8</v>
      </c>
      <c r="D154" s="2">
        <f t="shared" si="11"/>
        <v>4</v>
      </c>
      <c r="E154" s="2" t="str">
        <f t="shared" si="12"/>
        <v/>
      </c>
      <c r="F154" s="2"/>
      <c r="G154" s="2"/>
      <c r="K154" t="str">
        <f t="shared" si="13"/>
        <v>case L'': bmcode = 0x0384; break;</v>
      </c>
    </row>
    <row r="155" spans="2:11" ht="26.5" customHeight="1">
      <c r="B155" s="2">
        <v>133</v>
      </c>
      <c r="C155" s="2">
        <f t="shared" si="10"/>
        <v>8</v>
      </c>
      <c r="D155" s="2">
        <f t="shared" si="11"/>
        <v>5</v>
      </c>
      <c r="E155" s="2" t="str">
        <f t="shared" si="12"/>
        <v/>
      </c>
      <c r="F155" s="2"/>
      <c r="G155" s="2"/>
      <c r="K155" t="str">
        <f t="shared" si="13"/>
        <v>case L'': bmcode = 0x0385; break;</v>
      </c>
    </row>
    <row r="156" spans="2:11" ht="26.5" customHeight="1">
      <c r="B156" s="2">
        <v>134</v>
      </c>
      <c r="C156" s="2">
        <f t="shared" si="10"/>
        <v>8</v>
      </c>
      <c r="D156" s="2">
        <f t="shared" si="11"/>
        <v>6</v>
      </c>
      <c r="E156" s="2" t="str">
        <f t="shared" si="12"/>
        <v/>
      </c>
      <c r="F156" s="2"/>
      <c r="G156" s="2"/>
      <c r="K156" t="str">
        <f t="shared" si="13"/>
        <v>case L'': bmcode = 0x0386; break;</v>
      </c>
    </row>
    <row r="157" spans="2:11" ht="26.5" customHeight="1">
      <c r="B157" s="2">
        <v>135</v>
      </c>
      <c r="C157" s="2">
        <f t="shared" si="10"/>
        <v>8</v>
      </c>
      <c r="D157" s="2">
        <f t="shared" si="11"/>
        <v>7</v>
      </c>
      <c r="E157" s="2" t="str">
        <f t="shared" si="12"/>
        <v/>
      </c>
      <c r="F157" s="2"/>
      <c r="G157" s="2"/>
      <c r="K157" t="str">
        <f t="shared" si="13"/>
        <v>case L'': bmcode = 0x0387; break;</v>
      </c>
    </row>
    <row r="158" spans="2:11" ht="26.5" customHeight="1">
      <c r="B158" s="2">
        <v>136</v>
      </c>
      <c r="C158" s="2">
        <f t="shared" si="10"/>
        <v>8</v>
      </c>
      <c r="D158" s="2">
        <f t="shared" si="11"/>
        <v>8</v>
      </c>
      <c r="E158" s="2" t="str">
        <f t="shared" si="12"/>
        <v/>
      </c>
      <c r="F158" s="2"/>
      <c r="G158" s="2"/>
      <c r="K158" t="str">
        <f t="shared" si="13"/>
        <v>case L'': bmcode = 0x0388; break;</v>
      </c>
    </row>
    <row r="159" spans="2:11" ht="26.5" customHeight="1">
      <c r="B159" s="2">
        <v>137</v>
      </c>
      <c r="C159" s="2">
        <f t="shared" si="10"/>
        <v>8</v>
      </c>
      <c r="D159" s="2">
        <f t="shared" si="11"/>
        <v>9</v>
      </c>
      <c r="E159" s="2" t="str">
        <f t="shared" si="12"/>
        <v/>
      </c>
      <c r="F159" s="2"/>
      <c r="G159" s="2"/>
      <c r="K159" t="str">
        <f t="shared" si="13"/>
        <v>case L'': bmcode = 0x0389; break;</v>
      </c>
    </row>
    <row r="160" spans="2:11" ht="26.5" customHeight="1">
      <c r="B160" s="2">
        <v>138</v>
      </c>
      <c r="C160" s="2">
        <f t="shared" si="10"/>
        <v>8</v>
      </c>
      <c r="D160" s="2">
        <f t="shared" si="11"/>
        <v>10</v>
      </c>
      <c r="E160" s="2" t="str">
        <f t="shared" si="12"/>
        <v/>
      </c>
      <c r="F160" s="2"/>
      <c r="G160" s="2"/>
      <c r="K160" t="str">
        <f t="shared" si="13"/>
        <v>case L'': bmcode = 0x038A; break;</v>
      </c>
    </row>
    <row r="161" spans="2:11" ht="26.5" customHeight="1">
      <c r="B161" s="2">
        <v>139</v>
      </c>
      <c r="C161" s="2">
        <f t="shared" si="10"/>
        <v>8</v>
      </c>
      <c r="D161" s="2">
        <f t="shared" si="11"/>
        <v>11</v>
      </c>
      <c r="E161" s="2" t="str">
        <f t="shared" si="12"/>
        <v/>
      </c>
      <c r="F161" s="2"/>
      <c r="G161" s="2"/>
      <c r="K161" t="str">
        <f t="shared" si="13"/>
        <v>case L'': bmcode = 0x038B; break;</v>
      </c>
    </row>
    <row r="162" spans="2:11" ht="26.5" customHeight="1">
      <c r="B162" s="2">
        <v>140</v>
      </c>
      <c r="C162" s="2">
        <f t="shared" si="10"/>
        <v>8</v>
      </c>
      <c r="D162" s="2">
        <f t="shared" si="11"/>
        <v>12</v>
      </c>
      <c r="E162" s="2" t="str">
        <f t="shared" si="12"/>
        <v/>
      </c>
      <c r="F162" s="2"/>
      <c r="G162" s="2"/>
      <c r="K162" t="str">
        <f t="shared" si="13"/>
        <v>case L'': bmcode = 0x038C; break;</v>
      </c>
    </row>
    <row r="163" spans="2:11" ht="26.5" customHeight="1">
      <c r="B163" s="2">
        <v>141</v>
      </c>
      <c r="C163" s="2">
        <f t="shared" si="10"/>
        <v>8</v>
      </c>
      <c r="D163" s="2">
        <f t="shared" si="11"/>
        <v>13</v>
      </c>
      <c r="E163" s="2" t="str">
        <f t="shared" si="12"/>
        <v/>
      </c>
      <c r="F163" s="2"/>
      <c r="G163" s="2"/>
      <c r="K163" t="str">
        <f t="shared" si="13"/>
        <v>case L'': bmcode = 0x038D; break;</v>
      </c>
    </row>
    <row r="164" spans="2:11" ht="26.5" customHeight="1">
      <c r="B164" s="2">
        <v>142</v>
      </c>
      <c r="C164" s="2">
        <f t="shared" si="10"/>
        <v>8</v>
      </c>
      <c r="D164" s="2">
        <f t="shared" si="11"/>
        <v>14</v>
      </c>
      <c r="E164" s="2" t="str">
        <f t="shared" si="12"/>
        <v/>
      </c>
      <c r="F164" s="2"/>
      <c r="G164" s="2"/>
      <c r="K164" t="str">
        <f t="shared" si="13"/>
        <v>case L'': bmcode = 0x038E; break;</v>
      </c>
    </row>
    <row r="165" spans="2:11" ht="26.5" customHeight="1">
      <c r="B165" s="2">
        <v>143</v>
      </c>
      <c r="C165" s="2">
        <f t="shared" si="10"/>
        <v>8</v>
      </c>
      <c r="D165" s="2">
        <f t="shared" si="11"/>
        <v>15</v>
      </c>
      <c r="E165" s="2" t="str">
        <f t="shared" si="12"/>
        <v/>
      </c>
      <c r="F165" s="2"/>
      <c r="G165" s="2"/>
      <c r="K165" t="str">
        <f t="shared" si="13"/>
        <v>case L'': bmcode = 0x038F; break;</v>
      </c>
    </row>
    <row r="166" spans="2:11" ht="26.5" customHeight="1">
      <c r="B166" s="2">
        <v>144</v>
      </c>
      <c r="C166" s="2">
        <f t="shared" si="10"/>
        <v>9</v>
      </c>
      <c r="D166" s="2">
        <f t="shared" si="11"/>
        <v>0</v>
      </c>
      <c r="E166" s="2" t="str">
        <f t="shared" si="12"/>
        <v/>
      </c>
      <c r="F166" s="2"/>
      <c r="G166" s="2"/>
      <c r="K166" t="str">
        <f t="shared" si="13"/>
        <v>case L'': bmcode = 0x0390; break;</v>
      </c>
    </row>
    <row r="167" spans="2:11" ht="26.5" customHeight="1">
      <c r="B167" s="2">
        <v>145</v>
      </c>
      <c r="C167" s="2">
        <f t="shared" si="10"/>
        <v>9</v>
      </c>
      <c r="D167" s="2">
        <f t="shared" si="11"/>
        <v>1</v>
      </c>
      <c r="E167" s="2" t="str">
        <f t="shared" si="12"/>
        <v/>
      </c>
      <c r="F167" s="2"/>
      <c r="G167" s="2"/>
      <c r="K167" t="str">
        <f t="shared" si="13"/>
        <v>case L'': bmcode = 0x0391; break;</v>
      </c>
    </row>
    <row r="168" spans="2:11" ht="26.5" customHeight="1">
      <c r="B168" s="2">
        <v>146</v>
      </c>
      <c r="C168" s="2">
        <f t="shared" si="10"/>
        <v>9</v>
      </c>
      <c r="D168" s="2">
        <f t="shared" si="11"/>
        <v>2</v>
      </c>
      <c r="E168" s="2" t="str">
        <f t="shared" si="12"/>
        <v/>
      </c>
      <c r="F168" s="2"/>
      <c r="G168" s="2"/>
      <c r="K168" t="str">
        <f t="shared" si="13"/>
        <v>case L'': bmcode = 0x0392; break;</v>
      </c>
    </row>
    <row r="169" spans="2:11" ht="26.5" customHeight="1">
      <c r="B169" s="2">
        <v>147</v>
      </c>
      <c r="C169" s="2">
        <f t="shared" si="10"/>
        <v>9</v>
      </c>
      <c r="D169" s="2">
        <f t="shared" si="11"/>
        <v>3</v>
      </c>
      <c r="E169" s="2" t="str">
        <f t="shared" si="12"/>
        <v/>
      </c>
      <c r="F169" s="2"/>
      <c r="G169" s="2"/>
      <c r="K169" t="str">
        <f t="shared" si="13"/>
        <v>case L'': bmcode = 0x0393; break;</v>
      </c>
    </row>
    <row r="170" spans="2:11" ht="26.5" customHeight="1">
      <c r="B170" s="2">
        <v>148</v>
      </c>
      <c r="C170" s="2">
        <f t="shared" si="10"/>
        <v>9</v>
      </c>
      <c r="D170" s="2">
        <f t="shared" si="11"/>
        <v>4</v>
      </c>
      <c r="E170" s="2" t="str">
        <f t="shared" si="12"/>
        <v/>
      </c>
      <c r="F170" s="2"/>
      <c r="G170" s="2"/>
      <c r="K170" t="str">
        <f t="shared" si="13"/>
        <v>case L'': bmcode = 0x0394; break;</v>
      </c>
    </row>
    <row r="171" spans="2:11" ht="26.5" customHeight="1">
      <c r="B171" s="2">
        <v>149</v>
      </c>
      <c r="C171" s="2">
        <f t="shared" si="10"/>
        <v>9</v>
      </c>
      <c r="D171" s="2">
        <f t="shared" si="11"/>
        <v>5</v>
      </c>
      <c r="E171" s="2" t="str">
        <f t="shared" si="12"/>
        <v/>
      </c>
      <c r="F171" s="2"/>
      <c r="G171" s="2"/>
      <c r="K171" t="str">
        <f t="shared" si="13"/>
        <v>case L'': bmcode = 0x0395; break;</v>
      </c>
    </row>
    <row r="172" spans="2:11" ht="26.5" customHeight="1">
      <c r="B172" s="2">
        <v>150</v>
      </c>
      <c r="C172" s="2">
        <f t="shared" si="10"/>
        <v>9</v>
      </c>
      <c r="D172" s="2">
        <f t="shared" si="11"/>
        <v>6</v>
      </c>
      <c r="E172" s="2" t="str">
        <f t="shared" si="12"/>
        <v/>
      </c>
      <c r="F172" s="2"/>
      <c r="G172" s="2"/>
      <c r="K172" t="str">
        <f t="shared" si="13"/>
        <v>case L'': bmcode = 0x0396; break;</v>
      </c>
    </row>
    <row r="173" spans="2:11" ht="26.5" customHeight="1">
      <c r="B173" s="2">
        <v>151</v>
      </c>
      <c r="C173" s="2">
        <f t="shared" si="10"/>
        <v>9</v>
      </c>
      <c r="D173" s="2">
        <f t="shared" si="11"/>
        <v>7</v>
      </c>
      <c r="E173" s="2" t="str">
        <f t="shared" si="12"/>
        <v/>
      </c>
      <c r="F173" s="2"/>
      <c r="G173" s="2"/>
      <c r="K173" t="str">
        <f t="shared" si="13"/>
        <v>case L'': bmcode = 0x0397; break;</v>
      </c>
    </row>
    <row r="174" spans="2:11" ht="26.5" customHeight="1">
      <c r="B174" s="2">
        <v>152</v>
      </c>
      <c r="C174" s="2">
        <f t="shared" si="10"/>
        <v>9</v>
      </c>
      <c r="D174" s="2">
        <f t="shared" si="11"/>
        <v>8</v>
      </c>
      <c r="E174" s="2" t="str">
        <f t="shared" si="12"/>
        <v/>
      </c>
      <c r="F174" s="2"/>
      <c r="G174" s="2"/>
      <c r="K174" t="str">
        <f t="shared" si="13"/>
        <v>case L'': bmcode = 0x0398; break;</v>
      </c>
    </row>
    <row r="175" spans="2:11" ht="26.5" customHeight="1">
      <c r="B175" s="2">
        <v>153</v>
      </c>
      <c r="C175" s="2">
        <f t="shared" si="10"/>
        <v>9</v>
      </c>
      <c r="D175" s="2">
        <f t="shared" si="11"/>
        <v>9</v>
      </c>
      <c r="E175" s="2" t="str">
        <f t="shared" si="12"/>
        <v/>
      </c>
      <c r="F175" s="2"/>
      <c r="G175" s="2"/>
      <c r="K175" t="str">
        <f t="shared" si="13"/>
        <v>case L'': bmcode = 0x0399; break;</v>
      </c>
    </row>
    <row r="176" spans="2:11" ht="26.5" customHeight="1">
      <c r="B176" s="2">
        <v>154</v>
      </c>
      <c r="C176" s="2">
        <f t="shared" si="10"/>
        <v>9</v>
      </c>
      <c r="D176" s="2">
        <f t="shared" si="11"/>
        <v>10</v>
      </c>
      <c r="E176" s="2" t="str">
        <f t="shared" si="12"/>
        <v/>
      </c>
      <c r="F176" s="2"/>
      <c r="G176" s="2"/>
      <c r="K176" t="str">
        <f t="shared" si="13"/>
        <v>case L'': bmcode = 0x039A; break;</v>
      </c>
    </row>
    <row r="177" spans="2:11" ht="26.5" customHeight="1">
      <c r="B177" s="2">
        <v>155</v>
      </c>
      <c r="C177" s="2">
        <f t="shared" si="10"/>
        <v>9</v>
      </c>
      <c r="D177" s="2">
        <f t="shared" si="11"/>
        <v>11</v>
      </c>
      <c r="E177" s="2" t="str">
        <f t="shared" si="12"/>
        <v/>
      </c>
      <c r="F177" s="2"/>
      <c r="G177" s="2"/>
      <c r="K177" t="str">
        <f t="shared" si="13"/>
        <v>case L'': bmcode = 0x039B; break;</v>
      </c>
    </row>
    <row r="178" spans="2:11" ht="26.5" customHeight="1">
      <c r="B178" s="2">
        <v>156</v>
      </c>
      <c r="C178" s="2">
        <f t="shared" si="10"/>
        <v>9</v>
      </c>
      <c r="D178" s="2">
        <f t="shared" si="11"/>
        <v>12</v>
      </c>
      <c r="E178" s="2" t="str">
        <f t="shared" si="12"/>
        <v/>
      </c>
      <c r="F178" s="2"/>
      <c r="G178" s="2"/>
      <c r="K178" t="str">
        <f t="shared" si="13"/>
        <v>case L'': bmcode = 0x039C; break;</v>
      </c>
    </row>
    <row r="179" spans="2:11" ht="26.5" customHeight="1">
      <c r="B179" s="2">
        <v>157</v>
      </c>
      <c r="C179" s="2">
        <f t="shared" si="10"/>
        <v>9</v>
      </c>
      <c r="D179" s="2">
        <f t="shared" si="11"/>
        <v>13</v>
      </c>
      <c r="E179" s="2" t="str">
        <f t="shared" si="12"/>
        <v/>
      </c>
      <c r="F179" s="2"/>
      <c r="G179" s="2"/>
      <c r="K179" t="str">
        <f t="shared" si="13"/>
        <v>case L'': bmcode = 0x039D; break;</v>
      </c>
    </row>
    <row r="180" spans="2:11" ht="26.5" customHeight="1">
      <c r="B180" s="2">
        <v>158</v>
      </c>
      <c r="C180" s="2">
        <f t="shared" si="10"/>
        <v>9</v>
      </c>
      <c r="D180" s="2">
        <f t="shared" si="11"/>
        <v>14</v>
      </c>
      <c r="E180" s="2" t="str">
        <f t="shared" si="12"/>
        <v/>
      </c>
      <c r="F180" s="2"/>
      <c r="G180" s="2"/>
      <c r="K180" t="str">
        <f t="shared" si="13"/>
        <v>case L'': bmcode = 0x039E; break;</v>
      </c>
    </row>
    <row r="181" spans="2:11" ht="26.5" customHeight="1">
      <c r="B181" s="2">
        <v>159</v>
      </c>
      <c r="C181" s="2">
        <f t="shared" si="10"/>
        <v>9</v>
      </c>
      <c r="D181" s="2">
        <f t="shared" si="11"/>
        <v>15</v>
      </c>
      <c r="E181" s="2" t="str">
        <f t="shared" si="12"/>
        <v/>
      </c>
      <c r="F181" s="2"/>
      <c r="G181" s="2"/>
      <c r="K181" t="str">
        <f t="shared" si="13"/>
        <v>case L'': bmcode = 0x039F; break;</v>
      </c>
    </row>
    <row r="182" spans="2:11" ht="26.5" customHeight="1">
      <c r="B182" s="2">
        <v>160</v>
      </c>
      <c r="C182" s="2">
        <f t="shared" si="10"/>
        <v>10</v>
      </c>
      <c r="D182" s="2">
        <f t="shared" si="11"/>
        <v>0</v>
      </c>
      <c r="E182" s="2" t="str">
        <f t="shared" si="12"/>
        <v/>
      </c>
      <c r="F182" s="2"/>
      <c r="G182" s="2"/>
      <c r="K182" t="str">
        <f t="shared" si="13"/>
        <v>case L'': bmcode = 0x03A0; break;</v>
      </c>
    </row>
    <row r="183" spans="2:11" ht="26.5" customHeight="1">
      <c r="B183" s="2">
        <v>161</v>
      </c>
      <c r="C183" s="2">
        <f t="shared" si="10"/>
        <v>10</v>
      </c>
      <c r="D183" s="2">
        <f t="shared" si="11"/>
        <v>1</v>
      </c>
      <c r="E183" s="2" t="str">
        <f t="shared" si="12"/>
        <v/>
      </c>
      <c r="F183" s="2"/>
      <c r="G183" s="2"/>
      <c r="K183" t="str">
        <f t="shared" si="13"/>
        <v>case L'': bmcode = 0x03A1; break;</v>
      </c>
    </row>
    <row r="184" spans="2:11" ht="26.5" customHeight="1">
      <c r="B184" s="2">
        <v>162</v>
      </c>
      <c r="C184" s="2">
        <f t="shared" si="10"/>
        <v>10</v>
      </c>
      <c r="D184" s="2">
        <f t="shared" si="11"/>
        <v>2</v>
      </c>
      <c r="E184" s="2" t="str">
        <f t="shared" si="12"/>
        <v/>
      </c>
      <c r="F184" s="2"/>
      <c r="G184" s="2"/>
      <c r="K184" t="str">
        <f t="shared" si="13"/>
        <v>case L'': bmcode = 0x03A2; break;</v>
      </c>
    </row>
    <row r="185" spans="2:11" ht="26.5" customHeight="1">
      <c r="B185" s="2">
        <v>163</v>
      </c>
      <c r="C185" s="2">
        <f t="shared" si="10"/>
        <v>10</v>
      </c>
      <c r="D185" s="2">
        <f t="shared" si="11"/>
        <v>3</v>
      </c>
      <c r="E185" s="2" t="str">
        <f t="shared" si="12"/>
        <v/>
      </c>
      <c r="F185" s="2"/>
      <c r="G185" s="2"/>
      <c r="K185" t="str">
        <f t="shared" si="13"/>
        <v>case L'': bmcode = 0x03A3; break;</v>
      </c>
    </row>
    <row r="186" spans="2:11" ht="26.5" customHeight="1">
      <c r="B186" s="2">
        <v>164</v>
      </c>
      <c r="C186" s="2">
        <f t="shared" si="10"/>
        <v>10</v>
      </c>
      <c r="D186" s="2">
        <f t="shared" si="11"/>
        <v>4</v>
      </c>
      <c r="E186" s="2" t="str">
        <f t="shared" si="12"/>
        <v/>
      </c>
      <c r="F186" s="2"/>
      <c r="G186" s="2"/>
      <c r="K186" t="str">
        <f t="shared" si="13"/>
        <v>case L'': bmcode = 0x03A4; break;</v>
      </c>
    </row>
    <row r="187" spans="2:11" ht="26.5" customHeight="1">
      <c r="B187" s="2">
        <v>165</v>
      </c>
      <c r="C187" s="2">
        <f t="shared" si="10"/>
        <v>10</v>
      </c>
      <c r="D187" s="2">
        <f t="shared" si="11"/>
        <v>5</v>
      </c>
      <c r="E187" s="2" t="str">
        <f t="shared" si="12"/>
        <v/>
      </c>
      <c r="F187" s="2"/>
      <c r="G187" s="2"/>
      <c r="K187" t="str">
        <f t="shared" si="13"/>
        <v>case L'': bmcode = 0x03A5; break;</v>
      </c>
    </row>
    <row r="188" spans="2:11" ht="26.5" customHeight="1">
      <c r="B188" s="2">
        <v>166</v>
      </c>
      <c r="C188" s="2">
        <f t="shared" si="10"/>
        <v>10</v>
      </c>
      <c r="D188" s="2">
        <f t="shared" si="11"/>
        <v>6</v>
      </c>
      <c r="E188" s="2" t="str">
        <f t="shared" si="12"/>
        <v/>
      </c>
      <c r="F188" s="2"/>
      <c r="G188" s="2"/>
      <c r="K188" t="str">
        <f t="shared" si="13"/>
        <v>case L'': bmcode = 0x03A6; break;</v>
      </c>
    </row>
    <row r="189" spans="2:11" ht="26.5" customHeight="1">
      <c r="B189" s="2">
        <v>167</v>
      </c>
      <c r="C189" s="2">
        <f t="shared" si="10"/>
        <v>10</v>
      </c>
      <c r="D189" s="2">
        <f t="shared" si="11"/>
        <v>7</v>
      </c>
      <c r="E189" s="2" t="str">
        <f t="shared" si="12"/>
        <v/>
      </c>
      <c r="F189" s="2"/>
      <c r="G189" s="2"/>
      <c r="K189" t="str">
        <f t="shared" si="13"/>
        <v>case L'': bmcode = 0x03A7; break;</v>
      </c>
    </row>
    <row r="190" spans="2:11" ht="26.5" customHeight="1">
      <c r="B190" s="2">
        <v>168</v>
      </c>
      <c r="C190" s="2">
        <f t="shared" si="10"/>
        <v>10</v>
      </c>
      <c r="D190" s="2">
        <f t="shared" si="11"/>
        <v>8</v>
      </c>
      <c r="E190" s="2" t="str">
        <f t="shared" si="12"/>
        <v/>
      </c>
      <c r="F190" s="2"/>
      <c r="G190" s="2"/>
      <c r="K190" t="str">
        <f t="shared" si="13"/>
        <v>case L'': bmcode = 0x03A8; break;</v>
      </c>
    </row>
    <row r="191" spans="2:11" ht="26.5" customHeight="1">
      <c r="B191" s="2">
        <v>169</v>
      </c>
      <c r="C191" s="2">
        <f t="shared" si="10"/>
        <v>10</v>
      </c>
      <c r="D191" s="2">
        <f t="shared" si="11"/>
        <v>9</v>
      </c>
      <c r="E191" s="2" t="str">
        <f t="shared" si="12"/>
        <v/>
      </c>
      <c r="F191" s="2"/>
      <c r="G191" s="2"/>
      <c r="K191" t="str">
        <f t="shared" si="13"/>
        <v>case L'': bmcode = 0x03A9; break;</v>
      </c>
    </row>
    <row r="192" spans="2:11" ht="26.5" customHeight="1">
      <c r="B192" s="2">
        <v>170</v>
      </c>
      <c r="C192" s="2">
        <f t="shared" si="10"/>
        <v>10</v>
      </c>
      <c r="D192" s="2">
        <f t="shared" si="11"/>
        <v>10</v>
      </c>
      <c r="E192" s="2" t="str">
        <f t="shared" si="12"/>
        <v/>
      </c>
      <c r="F192" s="2"/>
      <c r="G192" s="2"/>
      <c r="K192" t="str">
        <f t="shared" si="13"/>
        <v>case L'': bmcode = 0x03AA; break;</v>
      </c>
    </row>
    <row r="193" spans="2:11" ht="26.5" customHeight="1">
      <c r="B193" s="2">
        <v>171</v>
      </c>
      <c r="C193" s="2">
        <f t="shared" si="10"/>
        <v>10</v>
      </c>
      <c r="D193" s="2">
        <f t="shared" si="11"/>
        <v>11</v>
      </c>
      <c r="E193" s="2" t="str">
        <f t="shared" si="12"/>
        <v/>
      </c>
      <c r="F193" s="2"/>
      <c r="G193" s="2"/>
      <c r="K193" t="str">
        <f t="shared" si="13"/>
        <v>case L'': bmcode = 0x03AB; break;</v>
      </c>
    </row>
    <row r="194" spans="2:11" ht="26.5" customHeight="1">
      <c r="B194" s="2">
        <v>172</v>
      </c>
      <c r="C194" s="2">
        <f t="shared" si="10"/>
        <v>10</v>
      </c>
      <c r="D194" s="2">
        <f t="shared" si="11"/>
        <v>12</v>
      </c>
      <c r="E194" s="2" t="str">
        <f t="shared" si="12"/>
        <v/>
      </c>
      <c r="F194" s="2"/>
      <c r="G194" s="2"/>
      <c r="K194" t="str">
        <f t="shared" si="13"/>
        <v>case L'': bmcode = 0x03AC; break;</v>
      </c>
    </row>
    <row r="195" spans="2:11" ht="26.5" customHeight="1">
      <c r="B195" s="2">
        <v>173</v>
      </c>
      <c r="C195" s="2">
        <f t="shared" si="10"/>
        <v>10</v>
      </c>
      <c r="D195" s="2">
        <f t="shared" si="11"/>
        <v>13</v>
      </c>
      <c r="E195" s="2" t="str">
        <f t="shared" si="12"/>
        <v/>
      </c>
      <c r="F195" s="2"/>
      <c r="G195" s="2"/>
      <c r="K195" t="str">
        <f t="shared" si="13"/>
        <v>case L'': bmcode = 0x03AD; break;</v>
      </c>
    </row>
    <row r="196" spans="2:11" ht="26.5" customHeight="1">
      <c r="B196" s="2">
        <v>174</v>
      </c>
      <c r="C196" s="2">
        <f t="shared" si="10"/>
        <v>10</v>
      </c>
      <c r="D196" s="2">
        <f t="shared" si="11"/>
        <v>14</v>
      </c>
      <c r="E196" s="2" t="str">
        <f t="shared" si="12"/>
        <v/>
      </c>
      <c r="F196" s="2"/>
      <c r="G196" s="2"/>
      <c r="K196" t="str">
        <f t="shared" si="13"/>
        <v>case L'': bmcode = 0x03AE; break;</v>
      </c>
    </row>
    <row r="197" spans="2:11" ht="26.5" customHeight="1">
      <c r="B197" s="2">
        <v>175</v>
      </c>
      <c r="C197" s="2">
        <f t="shared" si="10"/>
        <v>10</v>
      </c>
      <c r="D197" s="2">
        <f t="shared" si="11"/>
        <v>15</v>
      </c>
      <c r="E197" s="2" t="str">
        <f t="shared" si="12"/>
        <v/>
      </c>
      <c r="F197" s="2"/>
      <c r="G197" s="2"/>
      <c r="K197" t="str">
        <f t="shared" si="13"/>
        <v>case L'': bmcode = 0x03AF; break;</v>
      </c>
    </row>
    <row r="198" spans="2:11" ht="26.5" customHeight="1">
      <c r="B198" s="2">
        <v>176</v>
      </c>
      <c r="C198" s="2">
        <f t="shared" si="10"/>
        <v>11</v>
      </c>
      <c r="D198" s="2">
        <f t="shared" si="11"/>
        <v>0</v>
      </c>
      <c r="E198" s="2" t="str">
        <f t="shared" si="12"/>
        <v/>
      </c>
      <c r="F198" s="2"/>
      <c r="G198" s="2"/>
      <c r="K198" t="str">
        <f t="shared" si="13"/>
        <v>case L'': bmcode = 0x03B0; break;</v>
      </c>
    </row>
    <row r="199" spans="2:11" ht="26.5" customHeight="1">
      <c r="B199" s="2">
        <v>177</v>
      </c>
      <c r="C199" s="2">
        <f t="shared" si="10"/>
        <v>11</v>
      </c>
      <c r="D199" s="2">
        <f t="shared" si="11"/>
        <v>1</v>
      </c>
      <c r="E199" s="2" t="str">
        <f t="shared" si="12"/>
        <v/>
      </c>
      <c r="F199" s="2"/>
      <c r="G199" s="2"/>
      <c r="K199" t="str">
        <f t="shared" si="13"/>
        <v>case L'': bmcode = 0x03B1; break;</v>
      </c>
    </row>
    <row r="200" spans="2:11" ht="26.5" customHeight="1">
      <c r="B200" s="2">
        <v>178</v>
      </c>
      <c r="C200" s="2">
        <f t="shared" si="10"/>
        <v>11</v>
      </c>
      <c r="D200" s="2">
        <f t="shared" si="11"/>
        <v>2</v>
      </c>
      <c r="E200" s="2" t="str">
        <f t="shared" si="12"/>
        <v/>
      </c>
      <c r="F200" s="2"/>
      <c r="G200" s="2"/>
      <c r="K200" t="str">
        <f t="shared" si="13"/>
        <v>case L'': bmcode = 0x03B2; break;</v>
      </c>
    </row>
    <row r="201" spans="2:11" ht="26.5" customHeight="1">
      <c r="B201" s="2">
        <v>179</v>
      </c>
      <c r="C201" s="2">
        <f t="shared" si="10"/>
        <v>11</v>
      </c>
      <c r="D201" s="2">
        <f t="shared" si="11"/>
        <v>3</v>
      </c>
      <c r="E201" s="2" t="str">
        <f t="shared" si="12"/>
        <v/>
      </c>
      <c r="F201" s="2"/>
      <c r="G201" s="2"/>
      <c r="K201" t="str">
        <f t="shared" si="13"/>
        <v>case L'': bmcode = 0x03B3; break;</v>
      </c>
    </row>
    <row r="202" spans="2:11" ht="26.5" customHeight="1">
      <c r="B202" s="2">
        <v>180</v>
      </c>
      <c r="C202" s="2">
        <f t="shared" si="10"/>
        <v>11</v>
      </c>
      <c r="D202" s="2">
        <f t="shared" si="11"/>
        <v>4</v>
      </c>
      <c r="E202" s="2" t="str">
        <f t="shared" si="12"/>
        <v/>
      </c>
      <c r="F202" s="2"/>
      <c r="G202" s="2"/>
      <c r="K202" t="str">
        <f t="shared" si="13"/>
        <v>case L'': bmcode = 0x03B4; break;</v>
      </c>
    </row>
    <row r="203" spans="2:11" ht="26.5" customHeight="1">
      <c r="B203" s="2">
        <v>181</v>
      </c>
      <c r="C203" s="2">
        <f t="shared" si="10"/>
        <v>11</v>
      </c>
      <c r="D203" s="2">
        <f t="shared" si="11"/>
        <v>5</v>
      </c>
      <c r="E203" s="2" t="str">
        <f t="shared" si="12"/>
        <v/>
      </c>
      <c r="F203" s="2"/>
      <c r="G203" s="2"/>
      <c r="K203" t="str">
        <f t="shared" si="13"/>
        <v>case L'': bmcode = 0x03B5; break;</v>
      </c>
    </row>
    <row r="204" spans="2:11" ht="26.5" customHeight="1">
      <c r="B204" s="2">
        <v>182</v>
      </c>
      <c r="C204" s="2">
        <f t="shared" si="10"/>
        <v>11</v>
      </c>
      <c r="D204" s="2">
        <f t="shared" si="11"/>
        <v>6</v>
      </c>
      <c r="E204" s="2" t="str">
        <f t="shared" si="12"/>
        <v/>
      </c>
      <c r="F204" s="2"/>
      <c r="G204" s="2"/>
      <c r="K204" t="str">
        <f t="shared" si="13"/>
        <v>case L'': bmcode = 0x03B6; break;</v>
      </c>
    </row>
    <row r="205" spans="2:11" ht="26.5" customHeight="1">
      <c r="B205" s="2">
        <v>183</v>
      </c>
      <c r="C205" s="2">
        <f t="shared" si="10"/>
        <v>11</v>
      </c>
      <c r="D205" s="2">
        <f t="shared" si="11"/>
        <v>7</v>
      </c>
      <c r="E205" s="2" t="str">
        <f t="shared" si="12"/>
        <v/>
      </c>
      <c r="F205" s="2"/>
      <c r="G205" s="2"/>
      <c r="K205" t="str">
        <f t="shared" si="13"/>
        <v>case L'': bmcode = 0x03B7; break;</v>
      </c>
    </row>
    <row r="206" spans="2:11" ht="26.5" customHeight="1">
      <c r="B206" s="2">
        <v>184</v>
      </c>
      <c r="C206" s="2">
        <f t="shared" si="10"/>
        <v>11</v>
      </c>
      <c r="D206" s="2">
        <f t="shared" si="11"/>
        <v>8</v>
      </c>
      <c r="E206" s="2" t="str">
        <f t="shared" si="12"/>
        <v/>
      </c>
      <c r="F206" s="2"/>
      <c r="G206" s="2"/>
      <c r="K206" t="str">
        <f t="shared" si="13"/>
        <v>case L'': bmcode = 0x03B8; break;</v>
      </c>
    </row>
    <row r="207" spans="2:11" ht="26.5" customHeight="1">
      <c r="B207" s="2">
        <v>185</v>
      </c>
      <c r="C207" s="2">
        <f t="shared" si="10"/>
        <v>11</v>
      </c>
      <c r="D207" s="2">
        <f t="shared" si="11"/>
        <v>9</v>
      </c>
      <c r="E207" s="2" t="str">
        <f t="shared" si="12"/>
        <v/>
      </c>
      <c r="F207" s="2"/>
      <c r="G207" s="2"/>
      <c r="K207" t="str">
        <f t="shared" si="13"/>
        <v>case L'': bmcode = 0x03B9; break;</v>
      </c>
    </row>
    <row r="208" spans="2:11" ht="26.5" customHeight="1">
      <c r="B208" s="2">
        <v>186</v>
      </c>
      <c r="C208" s="2">
        <f t="shared" si="10"/>
        <v>11</v>
      </c>
      <c r="D208" s="2">
        <f t="shared" si="11"/>
        <v>10</v>
      </c>
      <c r="E208" s="2" t="str">
        <f t="shared" si="12"/>
        <v/>
      </c>
      <c r="F208" s="2"/>
      <c r="G208" s="2"/>
      <c r="K208" t="str">
        <f t="shared" si="13"/>
        <v>case L'': bmcode = 0x03BA; break;</v>
      </c>
    </row>
    <row r="209" spans="2:11" ht="26.5" customHeight="1">
      <c r="B209" s="2">
        <v>187</v>
      </c>
      <c r="C209" s="2">
        <f t="shared" si="10"/>
        <v>11</v>
      </c>
      <c r="D209" s="2">
        <f t="shared" si="11"/>
        <v>11</v>
      </c>
      <c r="E209" s="2" t="str">
        <f t="shared" si="12"/>
        <v/>
      </c>
      <c r="F209" s="2"/>
      <c r="G209" s="2"/>
      <c r="K209" t="str">
        <f t="shared" si="13"/>
        <v>case L'': bmcode = 0x03BB; break;</v>
      </c>
    </row>
    <row r="210" spans="2:11" ht="26.5" customHeight="1">
      <c r="B210" s="2">
        <v>188</v>
      </c>
      <c r="C210" s="2">
        <f t="shared" si="10"/>
        <v>11</v>
      </c>
      <c r="D210" s="2">
        <f t="shared" si="11"/>
        <v>12</v>
      </c>
      <c r="E210" s="2" t="str">
        <f t="shared" si="12"/>
        <v/>
      </c>
      <c r="F210" s="2"/>
      <c r="G210" s="2"/>
      <c r="K210" t="str">
        <f t="shared" si="13"/>
        <v>case L'': bmcode = 0x03BC; break;</v>
      </c>
    </row>
    <row r="211" spans="2:11" ht="26.5" customHeight="1">
      <c r="B211" s="2">
        <v>189</v>
      </c>
      <c r="C211" s="2">
        <f t="shared" si="10"/>
        <v>11</v>
      </c>
      <c r="D211" s="2">
        <f t="shared" si="11"/>
        <v>13</v>
      </c>
      <c r="E211" s="2" t="str">
        <f t="shared" si="12"/>
        <v/>
      </c>
      <c r="F211" s="2"/>
      <c r="G211" s="2"/>
      <c r="K211" t="str">
        <f t="shared" si="13"/>
        <v>case L'': bmcode = 0x03BD; break;</v>
      </c>
    </row>
    <row r="212" spans="2:11" ht="26.5" customHeight="1">
      <c r="B212" s="2">
        <v>190</v>
      </c>
      <c r="C212" s="2">
        <f t="shared" si="10"/>
        <v>11</v>
      </c>
      <c r="D212" s="2">
        <f t="shared" si="11"/>
        <v>14</v>
      </c>
      <c r="E212" s="2" t="str">
        <f t="shared" si="12"/>
        <v/>
      </c>
      <c r="F212" s="2"/>
      <c r="G212" s="2"/>
      <c r="K212" t="str">
        <f t="shared" si="13"/>
        <v>case L'': bmcode = 0x03BE; break;</v>
      </c>
    </row>
    <row r="213" spans="2:11" ht="26.5" customHeight="1">
      <c r="B213" s="2">
        <v>191</v>
      </c>
      <c r="C213" s="2">
        <f t="shared" si="10"/>
        <v>11</v>
      </c>
      <c r="D213" s="2">
        <f t="shared" si="11"/>
        <v>15</v>
      </c>
      <c r="E213" s="2" t="str">
        <f t="shared" si="12"/>
        <v/>
      </c>
      <c r="F213" s="2"/>
      <c r="G213" s="2"/>
      <c r="K213" t="str">
        <f t="shared" si="13"/>
        <v>case L'': bmcode = 0x03BF; break;</v>
      </c>
    </row>
    <row r="214" spans="2:11" ht="26.5" customHeight="1">
      <c r="B214" s="2">
        <v>192</v>
      </c>
      <c r="C214" s="2">
        <f t="shared" si="10"/>
        <v>12</v>
      </c>
      <c r="D214" s="2">
        <f t="shared" si="11"/>
        <v>0</v>
      </c>
      <c r="E214" s="2" t="str">
        <f t="shared" si="12"/>
        <v/>
      </c>
      <c r="F214" s="2"/>
      <c r="G214" s="2"/>
      <c r="K214" t="str">
        <f t="shared" si="13"/>
        <v>case L'': bmcode = 0x03C0; break;</v>
      </c>
    </row>
    <row r="215" spans="2:11" ht="26.5" customHeight="1">
      <c r="B215" s="2">
        <v>193</v>
      </c>
      <c r="C215" s="2">
        <f t="shared" ref="C215:C278" si="14">ROUNDDOWN(B215/16,0)</f>
        <v>12</v>
      </c>
      <c r="D215" s="2">
        <f t="shared" ref="D215:D277" si="15">MOD(B215,16)</f>
        <v>1</v>
      </c>
      <c r="E215" s="2" t="str">
        <f t="shared" ref="E215:E277" si="16">IF(INDEX($C$3:$R$18,C215+1,D215+1)="","",INDEX($C$3:$R$18,C215+1,D215+1))</f>
        <v/>
      </c>
      <c r="F215" s="2"/>
      <c r="G215" s="2"/>
      <c r="K215" t="str">
        <f t="shared" ref="K215:K277" si="17">"case "&amp;"L'"&amp;E215&amp;"'"&amp;": "&amp;"bmcode = 0x"&amp;RIGHT("0000"&amp;DEC2HEX($K$19*256+C215*16+D215),4)&amp;"; break;"</f>
        <v>case L'': bmcode = 0x03C1; break;</v>
      </c>
    </row>
    <row r="216" spans="2:11" ht="26.5" customHeight="1">
      <c r="B216" s="2">
        <v>194</v>
      </c>
      <c r="C216" s="2">
        <f t="shared" si="14"/>
        <v>12</v>
      </c>
      <c r="D216" s="2">
        <f t="shared" si="15"/>
        <v>2</v>
      </c>
      <c r="E216" s="2" t="str">
        <f t="shared" si="16"/>
        <v/>
      </c>
      <c r="F216" s="2"/>
      <c r="G216" s="2"/>
      <c r="K216" t="str">
        <f t="shared" si="17"/>
        <v>case L'': bmcode = 0x03C2; break;</v>
      </c>
    </row>
    <row r="217" spans="2:11" ht="26.5" customHeight="1">
      <c r="B217" s="2">
        <v>195</v>
      </c>
      <c r="C217" s="2">
        <f t="shared" si="14"/>
        <v>12</v>
      </c>
      <c r="D217" s="2">
        <f t="shared" si="15"/>
        <v>3</v>
      </c>
      <c r="E217" s="2" t="str">
        <f t="shared" si="16"/>
        <v/>
      </c>
      <c r="F217" s="2"/>
      <c r="G217" s="2"/>
      <c r="K217" t="str">
        <f t="shared" si="17"/>
        <v>case L'': bmcode = 0x03C3; break;</v>
      </c>
    </row>
    <row r="218" spans="2:11" ht="26.5" customHeight="1">
      <c r="B218" s="2">
        <v>196</v>
      </c>
      <c r="C218" s="2">
        <f t="shared" si="14"/>
        <v>12</v>
      </c>
      <c r="D218" s="2">
        <f t="shared" si="15"/>
        <v>4</v>
      </c>
      <c r="E218" s="2" t="str">
        <f t="shared" si="16"/>
        <v/>
      </c>
      <c r="F218" s="2"/>
      <c r="G218" s="2"/>
      <c r="K218" t="str">
        <f t="shared" si="17"/>
        <v>case L'': bmcode = 0x03C4; break;</v>
      </c>
    </row>
    <row r="219" spans="2:11" ht="26.5" customHeight="1">
      <c r="B219" s="2">
        <v>197</v>
      </c>
      <c r="C219" s="2">
        <f t="shared" si="14"/>
        <v>12</v>
      </c>
      <c r="D219" s="2">
        <f t="shared" si="15"/>
        <v>5</v>
      </c>
      <c r="E219" s="2" t="str">
        <f t="shared" si="16"/>
        <v/>
      </c>
      <c r="F219" s="2"/>
      <c r="G219" s="2"/>
      <c r="K219" t="str">
        <f t="shared" si="17"/>
        <v>case L'': bmcode = 0x03C5; break;</v>
      </c>
    </row>
    <row r="220" spans="2:11" ht="26.5" customHeight="1">
      <c r="B220" s="2">
        <v>198</v>
      </c>
      <c r="C220" s="2">
        <f t="shared" si="14"/>
        <v>12</v>
      </c>
      <c r="D220" s="2">
        <f t="shared" si="15"/>
        <v>6</v>
      </c>
      <c r="E220" s="2" t="str">
        <f t="shared" si="16"/>
        <v/>
      </c>
      <c r="F220" s="2"/>
      <c r="G220" s="2"/>
      <c r="K220" t="str">
        <f t="shared" si="17"/>
        <v>case L'': bmcode = 0x03C6; break;</v>
      </c>
    </row>
    <row r="221" spans="2:11" ht="26.5" customHeight="1">
      <c r="B221" s="2">
        <v>199</v>
      </c>
      <c r="C221" s="2">
        <f t="shared" si="14"/>
        <v>12</v>
      </c>
      <c r="D221" s="2">
        <f t="shared" si="15"/>
        <v>7</v>
      </c>
      <c r="E221" s="2" t="str">
        <f t="shared" si="16"/>
        <v/>
      </c>
      <c r="F221" s="2"/>
      <c r="G221" s="2"/>
      <c r="K221" t="str">
        <f t="shared" si="17"/>
        <v>case L'': bmcode = 0x03C7; break;</v>
      </c>
    </row>
    <row r="222" spans="2:11" ht="26.5" customHeight="1">
      <c r="B222" s="2">
        <v>200</v>
      </c>
      <c r="C222" s="2">
        <f t="shared" si="14"/>
        <v>12</v>
      </c>
      <c r="D222" s="2">
        <f t="shared" si="15"/>
        <v>8</v>
      </c>
      <c r="E222" s="2" t="str">
        <f t="shared" si="16"/>
        <v/>
      </c>
      <c r="F222" s="2"/>
      <c r="G222" s="2"/>
      <c r="K222" t="str">
        <f t="shared" si="17"/>
        <v>case L'': bmcode = 0x03C8; break;</v>
      </c>
    </row>
    <row r="223" spans="2:11" ht="26.5" customHeight="1">
      <c r="B223" s="2">
        <v>201</v>
      </c>
      <c r="C223" s="2">
        <f t="shared" si="14"/>
        <v>12</v>
      </c>
      <c r="D223" s="2">
        <f t="shared" si="15"/>
        <v>9</v>
      </c>
      <c r="E223" s="2" t="str">
        <f t="shared" si="16"/>
        <v/>
      </c>
      <c r="F223" s="2"/>
      <c r="G223" s="2"/>
      <c r="K223" t="str">
        <f t="shared" si="17"/>
        <v>case L'': bmcode = 0x03C9; break;</v>
      </c>
    </row>
    <row r="224" spans="2:11" ht="26.5" customHeight="1">
      <c r="B224" s="2">
        <v>202</v>
      </c>
      <c r="C224" s="2">
        <f t="shared" si="14"/>
        <v>12</v>
      </c>
      <c r="D224" s="2">
        <f t="shared" si="15"/>
        <v>10</v>
      </c>
      <c r="E224" s="2" t="str">
        <f t="shared" si="16"/>
        <v/>
      </c>
      <c r="F224" s="2"/>
      <c r="G224" s="2"/>
      <c r="K224" t="str">
        <f t="shared" si="17"/>
        <v>case L'': bmcode = 0x03CA; break;</v>
      </c>
    </row>
    <row r="225" spans="2:11" ht="26.5" customHeight="1">
      <c r="B225" s="2">
        <v>203</v>
      </c>
      <c r="C225" s="2">
        <f t="shared" si="14"/>
        <v>12</v>
      </c>
      <c r="D225" s="2">
        <f t="shared" si="15"/>
        <v>11</v>
      </c>
      <c r="E225" s="2" t="str">
        <f t="shared" si="16"/>
        <v/>
      </c>
      <c r="F225" s="2"/>
      <c r="G225" s="2"/>
      <c r="K225" t="str">
        <f t="shared" si="17"/>
        <v>case L'': bmcode = 0x03CB; break;</v>
      </c>
    </row>
    <row r="226" spans="2:11" ht="26.5" customHeight="1">
      <c r="B226" s="2">
        <v>204</v>
      </c>
      <c r="C226" s="2">
        <f t="shared" si="14"/>
        <v>12</v>
      </c>
      <c r="D226" s="2">
        <f t="shared" si="15"/>
        <v>12</v>
      </c>
      <c r="E226" s="2" t="str">
        <f t="shared" si="16"/>
        <v/>
      </c>
      <c r="F226" s="2"/>
      <c r="G226" s="2"/>
      <c r="K226" t="str">
        <f t="shared" si="17"/>
        <v>case L'': bmcode = 0x03CC; break;</v>
      </c>
    </row>
    <row r="227" spans="2:11" ht="26.5" customHeight="1">
      <c r="B227" s="2">
        <v>205</v>
      </c>
      <c r="C227" s="2">
        <f t="shared" si="14"/>
        <v>12</v>
      </c>
      <c r="D227" s="2">
        <f t="shared" si="15"/>
        <v>13</v>
      </c>
      <c r="E227" s="2" t="str">
        <f t="shared" si="16"/>
        <v/>
      </c>
      <c r="F227" s="2"/>
      <c r="G227" s="2"/>
      <c r="K227" t="str">
        <f t="shared" si="17"/>
        <v>case L'': bmcode = 0x03CD; break;</v>
      </c>
    </row>
    <row r="228" spans="2:11" ht="26.5" customHeight="1">
      <c r="B228" s="2">
        <v>206</v>
      </c>
      <c r="C228" s="2">
        <f t="shared" si="14"/>
        <v>12</v>
      </c>
      <c r="D228" s="2">
        <f t="shared" si="15"/>
        <v>14</v>
      </c>
      <c r="E228" s="2" t="str">
        <f t="shared" si="16"/>
        <v/>
      </c>
      <c r="F228" s="2"/>
      <c r="G228" s="2"/>
      <c r="K228" t="str">
        <f t="shared" si="17"/>
        <v>case L'': bmcode = 0x03CE; break;</v>
      </c>
    </row>
    <row r="229" spans="2:11" ht="26.5" customHeight="1">
      <c r="B229" s="2">
        <v>207</v>
      </c>
      <c r="C229" s="2">
        <f t="shared" si="14"/>
        <v>12</v>
      </c>
      <c r="D229" s="2">
        <f t="shared" si="15"/>
        <v>15</v>
      </c>
      <c r="E229" s="2" t="str">
        <f t="shared" si="16"/>
        <v/>
      </c>
      <c r="F229" s="2"/>
      <c r="G229" s="2"/>
      <c r="K229" t="str">
        <f t="shared" si="17"/>
        <v>case L'': bmcode = 0x03CF; break;</v>
      </c>
    </row>
    <row r="230" spans="2:11" ht="26.5" customHeight="1">
      <c r="B230" s="2">
        <v>208</v>
      </c>
      <c r="C230" s="2">
        <f t="shared" si="14"/>
        <v>13</v>
      </c>
      <c r="D230" s="2">
        <f t="shared" si="15"/>
        <v>0</v>
      </c>
      <c r="E230" s="2" t="str">
        <f t="shared" si="16"/>
        <v/>
      </c>
      <c r="F230" s="2"/>
      <c r="G230" s="2"/>
      <c r="K230" t="str">
        <f t="shared" si="17"/>
        <v>case L'': bmcode = 0x03D0; break;</v>
      </c>
    </row>
    <row r="231" spans="2:11" ht="26.5" customHeight="1">
      <c r="B231" s="2">
        <v>209</v>
      </c>
      <c r="C231" s="2">
        <f t="shared" si="14"/>
        <v>13</v>
      </c>
      <c r="D231" s="2">
        <f t="shared" si="15"/>
        <v>1</v>
      </c>
      <c r="E231" s="2" t="str">
        <f t="shared" si="16"/>
        <v/>
      </c>
      <c r="F231" s="2"/>
      <c r="G231" s="2"/>
      <c r="K231" t="str">
        <f t="shared" si="17"/>
        <v>case L'': bmcode = 0x03D1; break;</v>
      </c>
    </row>
    <row r="232" spans="2:11" ht="26.5" customHeight="1">
      <c r="B232" s="2">
        <v>210</v>
      </c>
      <c r="C232" s="2">
        <f t="shared" si="14"/>
        <v>13</v>
      </c>
      <c r="D232" s="2">
        <f t="shared" si="15"/>
        <v>2</v>
      </c>
      <c r="E232" s="2" t="str">
        <f t="shared" si="16"/>
        <v/>
      </c>
      <c r="F232" s="2"/>
      <c r="G232" s="2"/>
      <c r="K232" t="str">
        <f t="shared" si="17"/>
        <v>case L'': bmcode = 0x03D2; break;</v>
      </c>
    </row>
    <row r="233" spans="2:11" ht="26.5" customHeight="1">
      <c r="B233" s="2">
        <v>211</v>
      </c>
      <c r="C233" s="2">
        <f t="shared" si="14"/>
        <v>13</v>
      </c>
      <c r="D233" s="2">
        <f t="shared" si="15"/>
        <v>3</v>
      </c>
      <c r="E233" s="2" t="str">
        <f t="shared" si="16"/>
        <v/>
      </c>
      <c r="F233" s="2"/>
      <c r="G233" s="2"/>
      <c r="K233" t="str">
        <f t="shared" si="17"/>
        <v>case L'': bmcode = 0x03D3; break;</v>
      </c>
    </row>
    <row r="234" spans="2:11" ht="26.5" customHeight="1">
      <c r="B234" s="2">
        <v>212</v>
      </c>
      <c r="C234" s="2">
        <f t="shared" si="14"/>
        <v>13</v>
      </c>
      <c r="D234" s="2">
        <f t="shared" si="15"/>
        <v>4</v>
      </c>
      <c r="E234" s="2" t="str">
        <f t="shared" si="16"/>
        <v/>
      </c>
      <c r="F234" s="2"/>
      <c r="G234" s="2"/>
      <c r="K234" t="str">
        <f t="shared" si="17"/>
        <v>case L'': bmcode = 0x03D4; break;</v>
      </c>
    </row>
    <row r="235" spans="2:11" ht="26.5" customHeight="1">
      <c r="B235" s="2">
        <v>213</v>
      </c>
      <c r="C235" s="2">
        <f t="shared" si="14"/>
        <v>13</v>
      </c>
      <c r="D235" s="2">
        <f t="shared" si="15"/>
        <v>5</v>
      </c>
      <c r="E235" s="2" t="str">
        <f t="shared" si="16"/>
        <v/>
      </c>
      <c r="F235" s="2"/>
      <c r="G235" s="2"/>
      <c r="K235" t="str">
        <f t="shared" si="17"/>
        <v>case L'': bmcode = 0x03D5; break;</v>
      </c>
    </row>
    <row r="236" spans="2:11" ht="26.5" customHeight="1">
      <c r="B236" s="2">
        <v>214</v>
      </c>
      <c r="C236" s="2">
        <f t="shared" si="14"/>
        <v>13</v>
      </c>
      <c r="D236" s="2">
        <f t="shared" si="15"/>
        <v>6</v>
      </c>
      <c r="E236" s="2" t="str">
        <f t="shared" si="16"/>
        <v/>
      </c>
      <c r="F236" s="2"/>
      <c r="G236" s="2"/>
      <c r="K236" t="str">
        <f t="shared" si="17"/>
        <v>case L'': bmcode = 0x03D6; break;</v>
      </c>
    </row>
    <row r="237" spans="2:11" ht="26.5" customHeight="1">
      <c r="B237" s="2">
        <v>215</v>
      </c>
      <c r="C237" s="2">
        <f t="shared" si="14"/>
        <v>13</v>
      </c>
      <c r="D237" s="2">
        <f t="shared" si="15"/>
        <v>7</v>
      </c>
      <c r="E237" s="2" t="str">
        <f t="shared" si="16"/>
        <v/>
      </c>
      <c r="F237" s="2"/>
      <c r="G237" s="2"/>
      <c r="K237" t="str">
        <f t="shared" si="17"/>
        <v>case L'': bmcode = 0x03D7; break;</v>
      </c>
    </row>
    <row r="238" spans="2:11" ht="26.5" customHeight="1">
      <c r="B238" s="2">
        <v>216</v>
      </c>
      <c r="C238" s="2">
        <f t="shared" si="14"/>
        <v>13</v>
      </c>
      <c r="D238" s="2">
        <f t="shared" si="15"/>
        <v>8</v>
      </c>
      <c r="E238" s="2" t="str">
        <f t="shared" si="16"/>
        <v/>
      </c>
      <c r="F238" s="2"/>
      <c r="G238" s="2"/>
      <c r="K238" t="str">
        <f t="shared" si="17"/>
        <v>case L'': bmcode = 0x03D8; break;</v>
      </c>
    </row>
    <row r="239" spans="2:11" ht="26.5" customHeight="1">
      <c r="B239" s="2">
        <v>217</v>
      </c>
      <c r="C239" s="2">
        <f t="shared" si="14"/>
        <v>13</v>
      </c>
      <c r="D239" s="2">
        <f t="shared" si="15"/>
        <v>9</v>
      </c>
      <c r="E239" s="2" t="str">
        <f t="shared" si="16"/>
        <v/>
      </c>
      <c r="F239" s="2"/>
      <c r="G239" s="2"/>
      <c r="K239" t="str">
        <f t="shared" si="17"/>
        <v>case L'': bmcode = 0x03D9; break;</v>
      </c>
    </row>
    <row r="240" spans="2:11" ht="26.5" customHeight="1">
      <c r="B240" s="2">
        <v>218</v>
      </c>
      <c r="C240" s="2">
        <f t="shared" si="14"/>
        <v>13</v>
      </c>
      <c r="D240" s="2">
        <f t="shared" si="15"/>
        <v>10</v>
      </c>
      <c r="E240" s="2" t="str">
        <f t="shared" si="16"/>
        <v/>
      </c>
      <c r="F240" s="2"/>
      <c r="G240" s="2"/>
      <c r="K240" t="str">
        <f t="shared" si="17"/>
        <v>case L'': bmcode = 0x03DA; break;</v>
      </c>
    </row>
    <row r="241" spans="2:11" ht="26.5" customHeight="1">
      <c r="B241" s="2">
        <v>219</v>
      </c>
      <c r="C241" s="2">
        <f t="shared" si="14"/>
        <v>13</v>
      </c>
      <c r="D241" s="2">
        <f t="shared" si="15"/>
        <v>11</v>
      </c>
      <c r="E241" s="2" t="str">
        <f t="shared" si="16"/>
        <v/>
      </c>
      <c r="F241" s="2"/>
      <c r="G241" s="2"/>
      <c r="K241" t="str">
        <f t="shared" si="17"/>
        <v>case L'': bmcode = 0x03DB; break;</v>
      </c>
    </row>
    <row r="242" spans="2:11" ht="26.5" customHeight="1">
      <c r="B242" s="2">
        <v>220</v>
      </c>
      <c r="C242" s="2">
        <f t="shared" si="14"/>
        <v>13</v>
      </c>
      <c r="D242" s="2">
        <f t="shared" si="15"/>
        <v>12</v>
      </c>
      <c r="E242" s="2" t="str">
        <f t="shared" si="16"/>
        <v/>
      </c>
      <c r="F242" s="2"/>
      <c r="G242" s="2"/>
      <c r="K242" t="str">
        <f t="shared" si="17"/>
        <v>case L'': bmcode = 0x03DC; break;</v>
      </c>
    </row>
    <row r="243" spans="2:11" ht="26.5" customHeight="1">
      <c r="B243" s="2">
        <v>221</v>
      </c>
      <c r="C243" s="2">
        <f t="shared" si="14"/>
        <v>13</v>
      </c>
      <c r="D243" s="2">
        <f t="shared" si="15"/>
        <v>13</v>
      </c>
      <c r="E243" s="2" t="str">
        <f t="shared" si="16"/>
        <v/>
      </c>
      <c r="F243" s="2"/>
      <c r="G243" s="2"/>
      <c r="K243" t="str">
        <f t="shared" si="17"/>
        <v>case L'': bmcode = 0x03DD; break;</v>
      </c>
    </row>
    <row r="244" spans="2:11" ht="26.5" customHeight="1">
      <c r="B244" s="2">
        <v>222</v>
      </c>
      <c r="C244" s="2">
        <f t="shared" si="14"/>
        <v>13</v>
      </c>
      <c r="D244" s="2">
        <f t="shared" si="15"/>
        <v>14</v>
      </c>
      <c r="E244" s="2" t="str">
        <f t="shared" si="16"/>
        <v/>
      </c>
      <c r="F244" s="2"/>
      <c r="G244" s="2"/>
      <c r="K244" t="str">
        <f t="shared" si="17"/>
        <v>case L'': bmcode = 0x03DE; break;</v>
      </c>
    </row>
    <row r="245" spans="2:11" ht="26.5" customHeight="1">
      <c r="B245" s="2">
        <v>223</v>
      </c>
      <c r="C245" s="2">
        <f t="shared" si="14"/>
        <v>13</v>
      </c>
      <c r="D245" s="2">
        <f t="shared" si="15"/>
        <v>15</v>
      </c>
      <c r="E245" s="2" t="str">
        <f t="shared" si="16"/>
        <v/>
      </c>
      <c r="F245" s="2"/>
      <c r="G245" s="2"/>
      <c r="K245" t="str">
        <f t="shared" si="17"/>
        <v>case L'': bmcode = 0x03DF; break;</v>
      </c>
    </row>
    <row r="246" spans="2:11" ht="26.5" customHeight="1">
      <c r="B246" s="2">
        <v>224</v>
      </c>
      <c r="C246" s="2">
        <f t="shared" si="14"/>
        <v>14</v>
      </c>
      <c r="D246" s="2">
        <f t="shared" si="15"/>
        <v>0</v>
      </c>
      <c r="E246" s="2" t="str">
        <f t="shared" si="16"/>
        <v/>
      </c>
      <c r="F246" s="2"/>
      <c r="G246" s="2"/>
      <c r="K246" t="str">
        <f t="shared" si="17"/>
        <v>case L'': bmcode = 0x03E0; break;</v>
      </c>
    </row>
    <row r="247" spans="2:11" ht="26.5" customHeight="1">
      <c r="B247" s="2">
        <v>225</v>
      </c>
      <c r="C247" s="2">
        <f t="shared" si="14"/>
        <v>14</v>
      </c>
      <c r="D247" s="2">
        <f t="shared" si="15"/>
        <v>1</v>
      </c>
      <c r="E247" s="2" t="str">
        <f t="shared" si="16"/>
        <v/>
      </c>
      <c r="F247" s="2"/>
      <c r="G247" s="2"/>
      <c r="K247" t="str">
        <f t="shared" si="17"/>
        <v>case L'': bmcode = 0x03E1; break;</v>
      </c>
    </row>
    <row r="248" spans="2:11" ht="26.5" customHeight="1">
      <c r="B248" s="2">
        <v>226</v>
      </c>
      <c r="C248" s="2">
        <f t="shared" si="14"/>
        <v>14</v>
      </c>
      <c r="D248" s="2">
        <f t="shared" si="15"/>
        <v>2</v>
      </c>
      <c r="E248" s="2" t="str">
        <f t="shared" si="16"/>
        <v/>
      </c>
      <c r="F248" s="2"/>
      <c r="G248" s="2"/>
      <c r="K248" t="str">
        <f t="shared" si="17"/>
        <v>case L'': bmcode = 0x03E2; break;</v>
      </c>
    </row>
    <row r="249" spans="2:11" ht="26.5" customHeight="1">
      <c r="B249" s="2">
        <v>227</v>
      </c>
      <c r="C249" s="2">
        <f t="shared" si="14"/>
        <v>14</v>
      </c>
      <c r="D249" s="2">
        <f t="shared" si="15"/>
        <v>3</v>
      </c>
      <c r="E249" s="2" t="str">
        <f t="shared" si="16"/>
        <v/>
      </c>
      <c r="F249" s="2"/>
      <c r="G249" s="2"/>
      <c r="K249" t="str">
        <f t="shared" si="17"/>
        <v>case L'': bmcode = 0x03E3; break;</v>
      </c>
    </row>
    <row r="250" spans="2:11" ht="26.5" customHeight="1">
      <c r="B250" s="2">
        <v>228</v>
      </c>
      <c r="C250" s="2">
        <f t="shared" si="14"/>
        <v>14</v>
      </c>
      <c r="D250" s="2">
        <f t="shared" si="15"/>
        <v>4</v>
      </c>
      <c r="E250" s="2" t="str">
        <f t="shared" si="16"/>
        <v/>
      </c>
      <c r="F250" s="2"/>
      <c r="G250" s="2"/>
      <c r="K250" t="str">
        <f t="shared" si="17"/>
        <v>case L'': bmcode = 0x03E4; break;</v>
      </c>
    </row>
    <row r="251" spans="2:11" ht="26.5" customHeight="1">
      <c r="B251" s="2">
        <v>229</v>
      </c>
      <c r="C251" s="2">
        <f t="shared" si="14"/>
        <v>14</v>
      </c>
      <c r="D251" s="2">
        <f t="shared" si="15"/>
        <v>5</v>
      </c>
      <c r="E251" s="2" t="str">
        <f t="shared" si="16"/>
        <v/>
      </c>
      <c r="F251" s="2"/>
      <c r="G251" s="2"/>
      <c r="K251" t="str">
        <f t="shared" si="17"/>
        <v>case L'': bmcode = 0x03E5; break;</v>
      </c>
    </row>
    <row r="252" spans="2:11" ht="26.5" customHeight="1">
      <c r="B252" s="2">
        <v>230</v>
      </c>
      <c r="C252" s="2">
        <f t="shared" si="14"/>
        <v>14</v>
      </c>
      <c r="D252" s="2">
        <f t="shared" si="15"/>
        <v>6</v>
      </c>
      <c r="E252" s="2" t="str">
        <f t="shared" si="16"/>
        <v/>
      </c>
      <c r="F252" s="2"/>
      <c r="G252" s="2"/>
      <c r="K252" t="str">
        <f t="shared" si="17"/>
        <v>case L'': bmcode = 0x03E6; break;</v>
      </c>
    </row>
    <row r="253" spans="2:11" ht="26.5" customHeight="1">
      <c r="B253" s="2">
        <v>231</v>
      </c>
      <c r="C253" s="2">
        <f t="shared" si="14"/>
        <v>14</v>
      </c>
      <c r="D253" s="2">
        <f t="shared" si="15"/>
        <v>7</v>
      </c>
      <c r="E253" s="2" t="str">
        <f t="shared" si="16"/>
        <v/>
      </c>
      <c r="F253" s="2"/>
      <c r="G253" s="2"/>
      <c r="K253" t="str">
        <f t="shared" si="17"/>
        <v>case L'': bmcode = 0x03E7; break;</v>
      </c>
    </row>
    <row r="254" spans="2:11" ht="26.5" customHeight="1">
      <c r="B254" s="2">
        <v>232</v>
      </c>
      <c r="C254" s="2">
        <f t="shared" si="14"/>
        <v>14</v>
      </c>
      <c r="D254" s="2">
        <f t="shared" si="15"/>
        <v>8</v>
      </c>
      <c r="E254" s="2" t="str">
        <f t="shared" si="16"/>
        <v/>
      </c>
      <c r="F254" s="2"/>
      <c r="G254" s="2"/>
      <c r="K254" t="str">
        <f t="shared" si="17"/>
        <v>case L'': bmcode = 0x03E8; break;</v>
      </c>
    </row>
    <row r="255" spans="2:11" ht="26.5" customHeight="1">
      <c r="B255" s="2">
        <v>233</v>
      </c>
      <c r="C255" s="2">
        <f t="shared" si="14"/>
        <v>14</v>
      </c>
      <c r="D255" s="2">
        <f t="shared" si="15"/>
        <v>9</v>
      </c>
      <c r="E255" s="2" t="str">
        <f t="shared" si="16"/>
        <v/>
      </c>
      <c r="F255" s="2"/>
      <c r="G255" s="2"/>
      <c r="K255" t="str">
        <f t="shared" si="17"/>
        <v>case L'': bmcode = 0x03E9; break;</v>
      </c>
    </row>
    <row r="256" spans="2:11" ht="26.5" customHeight="1">
      <c r="B256" s="2">
        <v>234</v>
      </c>
      <c r="C256" s="2">
        <f t="shared" si="14"/>
        <v>14</v>
      </c>
      <c r="D256" s="2">
        <f t="shared" si="15"/>
        <v>10</v>
      </c>
      <c r="E256" s="2" t="str">
        <f t="shared" si="16"/>
        <v/>
      </c>
      <c r="F256" s="2"/>
      <c r="G256" s="2"/>
      <c r="K256" t="str">
        <f t="shared" si="17"/>
        <v>case L'': bmcode = 0x03EA; break;</v>
      </c>
    </row>
    <row r="257" spans="2:11" ht="26.5" customHeight="1">
      <c r="B257" s="2">
        <v>235</v>
      </c>
      <c r="C257" s="2">
        <f t="shared" si="14"/>
        <v>14</v>
      </c>
      <c r="D257" s="2">
        <f t="shared" si="15"/>
        <v>11</v>
      </c>
      <c r="E257" s="2" t="str">
        <f t="shared" si="16"/>
        <v/>
      </c>
      <c r="F257" s="2"/>
      <c r="G257" s="2"/>
      <c r="K257" t="str">
        <f t="shared" si="17"/>
        <v>case L'': bmcode = 0x03EB; break;</v>
      </c>
    </row>
    <row r="258" spans="2:11" ht="26.5" customHeight="1">
      <c r="B258" s="2">
        <v>236</v>
      </c>
      <c r="C258" s="2">
        <f t="shared" si="14"/>
        <v>14</v>
      </c>
      <c r="D258" s="2">
        <f t="shared" si="15"/>
        <v>12</v>
      </c>
      <c r="E258" s="2" t="str">
        <f t="shared" si="16"/>
        <v/>
      </c>
      <c r="F258" s="2"/>
      <c r="G258" s="2"/>
      <c r="K258" t="str">
        <f t="shared" si="17"/>
        <v>case L'': bmcode = 0x03EC; break;</v>
      </c>
    </row>
    <row r="259" spans="2:11" ht="26.5" customHeight="1">
      <c r="B259" s="2">
        <v>237</v>
      </c>
      <c r="C259" s="2">
        <f t="shared" si="14"/>
        <v>14</v>
      </c>
      <c r="D259" s="2">
        <f t="shared" si="15"/>
        <v>13</v>
      </c>
      <c r="E259" s="2" t="str">
        <f t="shared" si="16"/>
        <v/>
      </c>
      <c r="F259" s="2"/>
      <c r="G259" s="2"/>
      <c r="K259" t="str">
        <f t="shared" si="17"/>
        <v>case L'': bmcode = 0x03ED; break;</v>
      </c>
    </row>
    <row r="260" spans="2:11" ht="26.5" customHeight="1">
      <c r="B260" s="2">
        <v>238</v>
      </c>
      <c r="C260" s="2">
        <f t="shared" si="14"/>
        <v>14</v>
      </c>
      <c r="D260" s="2">
        <f t="shared" si="15"/>
        <v>14</v>
      </c>
      <c r="E260" s="2" t="str">
        <f t="shared" si="16"/>
        <v/>
      </c>
      <c r="F260" s="2"/>
      <c r="G260" s="2"/>
      <c r="K260" t="str">
        <f t="shared" si="17"/>
        <v>case L'': bmcode = 0x03EE; break;</v>
      </c>
    </row>
    <row r="261" spans="2:11" ht="26.5" customHeight="1">
      <c r="B261" s="2">
        <v>239</v>
      </c>
      <c r="C261" s="2">
        <f t="shared" si="14"/>
        <v>14</v>
      </c>
      <c r="D261" s="2">
        <f t="shared" si="15"/>
        <v>15</v>
      </c>
      <c r="E261" s="2" t="str">
        <f t="shared" si="16"/>
        <v/>
      </c>
      <c r="F261" s="2"/>
      <c r="G261" s="2"/>
      <c r="K261" t="str">
        <f t="shared" si="17"/>
        <v>case L'': bmcode = 0x03EF; break;</v>
      </c>
    </row>
    <row r="262" spans="2:11" ht="26.5" customHeight="1">
      <c r="B262" s="2">
        <v>240</v>
      </c>
      <c r="C262" s="2">
        <f t="shared" si="14"/>
        <v>15</v>
      </c>
      <c r="D262" s="2">
        <f t="shared" si="15"/>
        <v>0</v>
      </c>
      <c r="E262" s="2" t="str">
        <f t="shared" si="16"/>
        <v/>
      </c>
      <c r="F262" s="2"/>
      <c r="G262" s="2"/>
      <c r="K262" t="str">
        <f t="shared" si="17"/>
        <v>case L'': bmcode = 0x03F0; break;</v>
      </c>
    </row>
    <row r="263" spans="2:11" ht="26.5" customHeight="1">
      <c r="B263" s="2">
        <v>241</v>
      </c>
      <c r="C263" s="2">
        <f t="shared" si="14"/>
        <v>15</v>
      </c>
      <c r="D263" s="2">
        <f t="shared" si="15"/>
        <v>1</v>
      </c>
      <c r="E263" s="2" t="str">
        <f t="shared" si="16"/>
        <v/>
      </c>
      <c r="F263" s="2"/>
      <c r="G263" s="2"/>
      <c r="K263" t="str">
        <f t="shared" si="17"/>
        <v>case L'': bmcode = 0x03F1; break;</v>
      </c>
    </row>
    <row r="264" spans="2:11" ht="26.5" customHeight="1">
      <c r="B264" s="2">
        <v>242</v>
      </c>
      <c r="C264" s="2">
        <f t="shared" si="14"/>
        <v>15</v>
      </c>
      <c r="D264" s="2">
        <f t="shared" si="15"/>
        <v>2</v>
      </c>
      <c r="E264" s="2" t="str">
        <f t="shared" si="16"/>
        <v/>
      </c>
      <c r="F264" s="2"/>
      <c r="G264" s="2"/>
      <c r="K264" t="str">
        <f t="shared" si="17"/>
        <v>case L'': bmcode = 0x03F2; break;</v>
      </c>
    </row>
    <row r="265" spans="2:11" ht="26.5" customHeight="1">
      <c r="B265" s="2">
        <v>243</v>
      </c>
      <c r="C265" s="2">
        <f t="shared" si="14"/>
        <v>15</v>
      </c>
      <c r="D265" s="2">
        <f t="shared" si="15"/>
        <v>3</v>
      </c>
      <c r="E265" s="2" t="str">
        <f t="shared" si="16"/>
        <v/>
      </c>
      <c r="F265" s="2"/>
      <c r="G265" s="2"/>
      <c r="K265" t="str">
        <f t="shared" si="17"/>
        <v>case L'': bmcode = 0x03F3; break;</v>
      </c>
    </row>
    <row r="266" spans="2:11" ht="26.5" customHeight="1">
      <c r="B266" s="2">
        <v>244</v>
      </c>
      <c r="C266" s="2">
        <f t="shared" si="14"/>
        <v>15</v>
      </c>
      <c r="D266" s="2">
        <f t="shared" si="15"/>
        <v>4</v>
      </c>
      <c r="E266" s="2" t="str">
        <f t="shared" si="16"/>
        <v/>
      </c>
      <c r="F266" s="2"/>
      <c r="G266" s="2"/>
      <c r="K266" t="str">
        <f t="shared" si="17"/>
        <v>case L'': bmcode = 0x03F4; break;</v>
      </c>
    </row>
    <row r="267" spans="2:11" ht="26.5" customHeight="1">
      <c r="B267" s="2">
        <v>245</v>
      </c>
      <c r="C267" s="2">
        <f t="shared" si="14"/>
        <v>15</v>
      </c>
      <c r="D267" s="2">
        <f t="shared" si="15"/>
        <v>5</v>
      </c>
      <c r="E267" s="2" t="str">
        <f t="shared" si="16"/>
        <v/>
      </c>
      <c r="F267" s="2"/>
      <c r="G267" s="2"/>
      <c r="K267" t="str">
        <f t="shared" si="17"/>
        <v>case L'': bmcode = 0x03F5; break;</v>
      </c>
    </row>
    <row r="268" spans="2:11" ht="26.5" customHeight="1">
      <c r="B268" s="2">
        <v>246</v>
      </c>
      <c r="C268" s="2">
        <f t="shared" si="14"/>
        <v>15</v>
      </c>
      <c r="D268" s="2">
        <f t="shared" si="15"/>
        <v>6</v>
      </c>
      <c r="E268" s="2" t="str">
        <f t="shared" si="16"/>
        <v/>
      </c>
      <c r="F268" s="2"/>
      <c r="G268" s="2"/>
      <c r="K268" t="str">
        <f t="shared" si="17"/>
        <v>case L'': bmcode = 0x03F6; break;</v>
      </c>
    </row>
    <row r="269" spans="2:11" ht="26.5" customHeight="1">
      <c r="B269" s="2">
        <v>247</v>
      </c>
      <c r="C269" s="2">
        <f t="shared" si="14"/>
        <v>15</v>
      </c>
      <c r="D269" s="2">
        <f t="shared" si="15"/>
        <v>7</v>
      </c>
      <c r="E269" s="2" t="str">
        <f t="shared" si="16"/>
        <v/>
      </c>
      <c r="F269" s="2"/>
      <c r="G269" s="2"/>
      <c r="K269" t="str">
        <f t="shared" si="17"/>
        <v>case L'': bmcode = 0x03F7; break;</v>
      </c>
    </row>
    <row r="270" spans="2:11" ht="26.5" customHeight="1">
      <c r="B270" s="2">
        <v>248</v>
      </c>
      <c r="C270" s="2">
        <f t="shared" si="14"/>
        <v>15</v>
      </c>
      <c r="D270" s="2">
        <f t="shared" si="15"/>
        <v>8</v>
      </c>
      <c r="E270" s="2" t="str">
        <f t="shared" si="16"/>
        <v/>
      </c>
      <c r="F270" s="2"/>
      <c r="G270" s="2"/>
      <c r="K270" t="str">
        <f t="shared" si="17"/>
        <v>case L'': bmcode = 0x03F8; break;</v>
      </c>
    </row>
    <row r="271" spans="2:11" ht="26.5" customHeight="1">
      <c r="B271" s="2">
        <v>249</v>
      </c>
      <c r="C271" s="2">
        <f t="shared" si="14"/>
        <v>15</v>
      </c>
      <c r="D271" s="2">
        <f t="shared" si="15"/>
        <v>9</v>
      </c>
      <c r="E271" s="2" t="str">
        <f t="shared" si="16"/>
        <v/>
      </c>
      <c r="F271" s="2"/>
      <c r="G271" s="2"/>
      <c r="K271" t="str">
        <f t="shared" si="17"/>
        <v>case L'': bmcode = 0x03F9; break;</v>
      </c>
    </row>
    <row r="272" spans="2:11" ht="26.5" customHeight="1">
      <c r="B272" s="2">
        <v>250</v>
      </c>
      <c r="C272" s="2">
        <f t="shared" si="14"/>
        <v>15</v>
      </c>
      <c r="D272" s="2">
        <f t="shared" si="15"/>
        <v>10</v>
      </c>
      <c r="E272" s="2" t="str">
        <f t="shared" si="16"/>
        <v/>
      </c>
      <c r="F272" s="2"/>
      <c r="G272" s="2"/>
      <c r="K272" t="str">
        <f t="shared" si="17"/>
        <v>case L'': bmcode = 0x03FA; break;</v>
      </c>
    </row>
    <row r="273" spans="2:11" ht="26.5" customHeight="1">
      <c r="B273" s="2">
        <v>251</v>
      </c>
      <c r="C273" s="2">
        <f t="shared" si="14"/>
        <v>15</v>
      </c>
      <c r="D273" s="2">
        <f t="shared" si="15"/>
        <v>11</v>
      </c>
      <c r="E273" s="2" t="str">
        <f t="shared" si="16"/>
        <v/>
      </c>
      <c r="F273" s="2"/>
      <c r="G273" s="2"/>
      <c r="K273" t="str">
        <f t="shared" si="17"/>
        <v>case L'': bmcode = 0x03FB; break;</v>
      </c>
    </row>
    <row r="274" spans="2:11" ht="26.5" customHeight="1">
      <c r="B274" s="2">
        <v>252</v>
      </c>
      <c r="C274" s="2">
        <f t="shared" si="14"/>
        <v>15</v>
      </c>
      <c r="D274" s="2">
        <f t="shared" si="15"/>
        <v>12</v>
      </c>
      <c r="E274" s="2" t="str">
        <f t="shared" si="16"/>
        <v/>
      </c>
      <c r="F274" s="2"/>
      <c r="G274" s="2"/>
      <c r="K274" t="str">
        <f t="shared" si="17"/>
        <v>case L'': bmcode = 0x03FC; break;</v>
      </c>
    </row>
    <row r="275" spans="2:11" ht="26.5" customHeight="1">
      <c r="B275" s="2">
        <v>253</v>
      </c>
      <c r="C275" s="2">
        <f t="shared" si="14"/>
        <v>15</v>
      </c>
      <c r="D275" s="2">
        <f t="shared" si="15"/>
        <v>13</v>
      </c>
      <c r="E275" s="2" t="str">
        <f t="shared" si="16"/>
        <v/>
      </c>
      <c r="F275" s="2"/>
      <c r="G275" s="2"/>
      <c r="K275" t="str">
        <f t="shared" si="17"/>
        <v>case L'': bmcode = 0x03FD; break;</v>
      </c>
    </row>
    <row r="276" spans="2:11" ht="26.5" customHeight="1">
      <c r="B276" s="2">
        <v>254</v>
      </c>
      <c r="C276" s="2">
        <f t="shared" si="14"/>
        <v>15</v>
      </c>
      <c r="D276" s="2">
        <f t="shared" si="15"/>
        <v>14</v>
      </c>
      <c r="E276" s="2" t="str">
        <f t="shared" si="16"/>
        <v/>
      </c>
      <c r="F276" s="2"/>
      <c r="G276" s="2"/>
      <c r="K276" t="str">
        <f t="shared" si="17"/>
        <v>case L'': bmcode = 0x03FE; break;</v>
      </c>
    </row>
    <row r="277" spans="2:11" ht="26.5" customHeight="1">
      <c r="B277" s="2">
        <v>255</v>
      </c>
      <c r="C277" s="2">
        <f t="shared" si="14"/>
        <v>15</v>
      </c>
      <c r="D277" s="2">
        <f t="shared" si="15"/>
        <v>15</v>
      </c>
      <c r="E277" s="2" t="str">
        <f t="shared" si="16"/>
        <v/>
      </c>
      <c r="F277" s="2"/>
      <c r="G277" s="2"/>
      <c r="K277" t="str">
        <f t="shared" si="17"/>
        <v>case L'': bmcode = 0x03FF; break;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ページ0</vt:lpstr>
      <vt:lpstr>ページ1</vt:lpstr>
      <vt:lpstr>ページ2</vt:lpstr>
      <vt:lpstr>ページ3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Shinji NIHIRA</cp:lastModifiedBy>
  <dcterms:created xsi:type="dcterms:W3CDTF">2015-06-05T18:19:34Z</dcterms:created>
  <dcterms:modified xsi:type="dcterms:W3CDTF">2026-10-27T10:55:28Z</dcterms:modified>
</cp:coreProperties>
</file>